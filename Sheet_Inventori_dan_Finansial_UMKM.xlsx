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5012fb2207a63ba/Documents/"/>
    </mc:Choice>
  </mc:AlternateContent>
  <xr:revisionPtr revIDLastSave="29" documentId="8_{1A124A53-B15B-4E34-BA53-85282EAD32AC}" xr6:coauthVersionLast="47" xr6:coauthVersionMax="47" xr10:uidLastSave="{C962840E-A041-456A-812E-D3AC921869F3}"/>
  <bookViews>
    <workbookView xWindow="-110" yWindow="-110" windowWidth="19420" windowHeight="11500" firstSheet="3" activeTab="6" xr2:uid="{74D5371F-3225-4024-85C3-A4D3C7007491}"/>
  </bookViews>
  <sheets>
    <sheet name="Asumsi" sheetId="1" r:id="rId1"/>
    <sheet name="Penjelasan" sheetId="6" r:id="rId2"/>
    <sheet name="Panduan Teknis" sheetId="12" r:id="rId3"/>
    <sheet name="Biaya Tetap" sheetId="2" r:id="rId4"/>
    <sheet name="Biaya Variabel" sheetId="3" r:id="rId5"/>
    <sheet name="Biaya Tidak Langsung " sheetId="4" r:id="rId6"/>
    <sheet name="Inventori Harian" sheetId="7" r:id="rId7"/>
    <sheet name="Inventori Mingguan" sheetId="10" r:id="rId8"/>
    <sheet name="Arus Kas" sheetId="8" r:id="rId9"/>
    <sheet name="Visualisasi" sheetId="9" r:id="rId10"/>
  </sheets>
  <externalReferences>
    <externalReference r:id="rId1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9" l="1"/>
  <c r="C14" i="9"/>
  <c r="C13" i="9"/>
  <c r="C12" i="9"/>
  <c r="K8" i="8"/>
  <c r="I8" i="8"/>
  <c r="M8" i="8"/>
  <c r="L8" i="8"/>
  <c r="G8" i="8"/>
  <c r="E8" i="8"/>
  <c r="C8" i="9"/>
  <c r="C7" i="9"/>
  <c r="C6" i="9"/>
  <c r="N3" i="8"/>
  <c r="M3" i="8"/>
  <c r="K4" i="8"/>
  <c r="K5" i="8"/>
  <c r="K6" i="8"/>
  <c r="K3" i="8"/>
  <c r="I4" i="8"/>
  <c r="I5" i="8"/>
  <c r="I6" i="8"/>
  <c r="I3" i="8"/>
  <c r="F4" i="8"/>
  <c r="F5" i="8"/>
  <c r="G5" i="8" s="1"/>
  <c r="L5" i="8" s="1"/>
  <c r="M5" i="8" s="1"/>
  <c r="N5" i="8" s="1"/>
  <c r="F6" i="8"/>
  <c r="G6" i="8" s="1"/>
  <c r="L6" i="8" s="1"/>
  <c r="F3" i="8"/>
  <c r="G3" i="8" s="1"/>
  <c r="L3" i="8" s="1"/>
  <c r="C31" i="10"/>
  <c r="D31" i="10"/>
  <c r="E31" i="10"/>
  <c r="F31" i="10"/>
  <c r="G31" i="10"/>
  <c r="H31" i="10"/>
  <c r="I31" i="10"/>
  <c r="J31" i="10"/>
  <c r="K31" i="10"/>
  <c r="L31" i="10"/>
  <c r="M31" i="10"/>
  <c r="N31" i="10"/>
  <c r="B31" i="10"/>
  <c r="B11" i="10"/>
  <c r="Q12" i="10"/>
  <c r="B39" i="10"/>
  <c r="B38" i="10"/>
  <c r="B37" i="10"/>
  <c r="Q9" i="10"/>
  <c r="Q8" i="10"/>
  <c r="Q6" i="10"/>
  <c r="Q5" i="10"/>
  <c r="Q4" i="10"/>
  <c r="D29" i="10"/>
  <c r="E29" i="10"/>
  <c r="F29" i="10"/>
  <c r="G29" i="10"/>
  <c r="H29" i="10"/>
  <c r="I29" i="10"/>
  <c r="J29" i="10"/>
  <c r="K29" i="10"/>
  <c r="L29" i="10"/>
  <c r="M29" i="10"/>
  <c r="N29" i="10"/>
  <c r="K30" i="10" s="1"/>
  <c r="C29" i="10"/>
  <c r="D28" i="10"/>
  <c r="E28" i="10"/>
  <c r="C28" i="10"/>
  <c r="C27" i="10"/>
  <c r="D27" i="10" s="1"/>
  <c r="D25" i="10"/>
  <c r="E25" i="10"/>
  <c r="F25" i="10"/>
  <c r="G25" i="10"/>
  <c r="H25" i="10"/>
  <c r="I25" i="10"/>
  <c r="J25" i="10"/>
  <c r="K25" i="10"/>
  <c r="L25" i="10"/>
  <c r="M25" i="10"/>
  <c r="N25" i="10"/>
  <c r="C25" i="10"/>
  <c r="C30" i="10"/>
  <c r="D30" i="10"/>
  <c r="E30" i="10"/>
  <c r="F30" i="10"/>
  <c r="G30" i="10"/>
  <c r="H30" i="10"/>
  <c r="I30" i="10"/>
  <c r="J30" i="10"/>
  <c r="L30" i="10"/>
  <c r="M30" i="10"/>
  <c r="N30" i="10"/>
  <c r="B30" i="10"/>
  <c r="C8" i="10"/>
  <c r="C9" i="10" s="1"/>
  <c r="D5" i="10"/>
  <c r="E5" i="10"/>
  <c r="F5" i="10"/>
  <c r="G5" i="10"/>
  <c r="H5" i="10"/>
  <c r="I5" i="10"/>
  <c r="J5" i="10"/>
  <c r="K5" i="10"/>
  <c r="L5" i="10"/>
  <c r="M5" i="10"/>
  <c r="N5" i="10"/>
  <c r="C5" i="10"/>
  <c r="C16" i="9"/>
  <c r="E6" i="8"/>
  <c r="E5" i="8"/>
  <c r="G4" i="8"/>
  <c r="L4" i="8" s="1"/>
  <c r="E4" i="8"/>
  <c r="E3" i="8"/>
  <c r="S6" i="7"/>
  <c r="N6" i="7"/>
  <c r="O6" i="7" s="1"/>
  <c r="M6" i="7"/>
  <c r="L6" i="7"/>
  <c r="S5" i="7"/>
  <c r="N5" i="7"/>
  <c r="O5" i="7" s="1"/>
  <c r="M5" i="7"/>
  <c r="L5" i="7"/>
  <c r="S4" i="7"/>
  <c r="N4" i="7"/>
  <c r="O4" i="7" s="1"/>
  <c r="M4" i="7"/>
  <c r="P4" i="7" s="1"/>
  <c r="T4" i="7" s="1"/>
  <c r="L4" i="7"/>
  <c r="E6" i="4"/>
  <c r="E5" i="4"/>
  <c r="E4" i="4"/>
  <c r="E3" i="4"/>
  <c r="E7" i="4" s="1"/>
  <c r="J4" i="3"/>
  <c r="J3" i="3"/>
  <c r="G8" i="3"/>
  <c r="G7" i="3"/>
  <c r="G6" i="3"/>
  <c r="G5" i="3"/>
  <c r="G4" i="3"/>
  <c r="G3" i="3"/>
  <c r="C7" i="2"/>
  <c r="C7" i="10" l="1"/>
  <c r="P5" i="7"/>
  <c r="T5" i="7" s="1"/>
  <c r="V5" i="7" s="1"/>
  <c r="P6" i="7"/>
  <c r="T6" i="7" s="1"/>
  <c r="V6" i="7" s="1"/>
  <c r="Q5" i="7"/>
  <c r="R5" i="7" s="1"/>
  <c r="Q4" i="7"/>
  <c r="R4" i="7" s="1"/>
  <c r="E27" i="10"/>
  <c r="M4" i="8"/>
  <c r="N4" i="8" s="1"/>
  <c r="M6" i="8"/>
  <c r="N6" i="8" s="1"/>
  <c r="V4" i="7"/>
  <c r="U4" i="7"/>
  <c r="U6" i="7"/>
  <c r="D8" i="10" l="1"/>
  <c r="D9" i="10" s="1"/>
  <c r="C11" i="10"/>
  <c r="U5" i="7"/>
  <c r="Q6" i="7"/>
  <c r="R6" i="7" s="1"/>
  <c r="F28" i="10"/>
  <c r="F27" i="10" s="1"/>
  <c r="D7" i="10" l="1"/>
  <c r="G28" i="10"/>
  <c r="G27" i="10" s="1"/>
  <c r="E8" i="10" l="1"/>
  <c r="E9" i="10" s="1"/>
  <c r="D11" i="10"/>
  <c r="H28" i="10"/>
  <c r="H27" i="10" s="1"/>
  <c r="B10" i="10" l="1"/>
  <c r="E7" i="10"/>
  <c r="I28" i="10"/>
  <c r="I27" i="10" s="1"/>
  <c r="F8" i="10" l="1"/>
  <c r="F9" i="10" s="1"/>
  <c r="E11" i="10"/>
  <c r="J28" i="10"/>
  <c r="J27" i="10" s="1"/>
  <c r="F7" i="10" l="1"/>
  <c r="K28" i="10"/>
  <c r="K27" i="10" s="1"/>
  <c r="G8" i="10" l="1"/>
  <c r="G9" i="10" s="1"/>
  <c r="F11" i="10"/>
  <c r="L28" i="10"/>
  <c r="L27" i="10" s="1"/>
  <c r="G7" i="10" l="1"/>
  <c r="M28" i="10"/>
  <c r="M27" i="10" s="1"/>
  <c r="H8" i="10" l="1"/>
  <c r="H9" i="10" s="1"/>
  <c r="H7" i="10" s="1"/>
  <c r="G11" i="10"/>
  <c r="N28" i="10"/>
  <c r="N27" i="10" s="1"/>
  <c r="I8" i="10" l="1"/>
  <c r="I9" i="10" s="1"/>
  <c r="I7" i="10" s="1"/>
  <c r="H11" i="10"/>
  <c r="J8" i="10" l="1"/>
  <c r="J9" i="10" s="1"/>
  <c r="J7" i="10" s="1"/>
  <c r="I11" i="10"/>
  <c r="K8" i="10" l="1"/>
  <c r="K9" i="10" s="1"/>
  <c r="K7" i="10" s="1"/>
  <c r="J11" i="10"/>
  <c r="L8" i="10" l="1"/>
  <c r="L9" i="10" s="1"/>
  <c r="L7" i="10" s="1"/>
  <c r="K11" i="10"/>
  <c r="M8" i="10" l="1"/>
  <c r="M9" i="10" s="1"/>
  <c r="M7" i="10" s="1"/>
  <c r="L11" i="10"/>
  <c r="N8" i="10" l="1"/>
  <c r="N9" i="10" s="1"/>
  <c r="M11" i="10"/>
  <c r="B18" i="10" l="1"/>
  <c r="N7" i="10"/>
  <c r="N11" i="10" l="1"/>
  <c r="C19" i="9" s="1"/>
  <c r="B17" i="10"/>
  <c r="B19" i="10" s="1"/>
</calcChain>
</file>

<file path=xl/sharedStrings.xml><?xml version="1.0" encoding="utf-8"?>
<sst xmlns="http://schemas.openxmlformats.org/spreadsheetml/2006/main" count="230" uniqueCount="176">
  <si>
    <t>Parameter</t>
  </si>
  <si>
    <t>Nilai</t>
  </si>
  <si>
    <t>Keterangan</t>
  </si>
  <si>
    <t>Hari Kerja per Bulan</t>
  </si>
  <si>
    <t>Bulan dalam 1 Tahun</t>
  </si>
  <si>
    <t>Hari kerja efektif UMKM, tidak termasuk hari dimana UMKM tersebut libur</t>
  </si>
  <si>
    <t>Untuk konversi permintaan bulanan menjadi permintaan tahunan untuk menyesuaikan inventori yang dibutuhkan</t>
  </si>
  <si>
    <t>ASUMSI</t>
  </si>
  <si>
    <t>FIXED COST BULANAN</t>
  </si>
  <si>
    <t>No</t>
  </si>
  <si>
    <t>Kategori</t>
  </si>
  <si>
    <t>Nominal per Bulan (Rp)</t>
  </si>
  <si>
    <t>Catatan</t>
  </si>
  <si>
    <t>Sewa Tempat/Lahan Usaha</t>
  </si>
  <si>
    <t>Gaji Karyawan Tetap</t>
  </si>
  <si>
    <t>Penyusutan Peralatan</t>
  </si>
  <si>
    <t>Nilai peralatan / estimasi umur ekonomis, per bulan</t>
  </si>
  <si>
    <t>Izin Usaha / Pajak Tetap</t>
  </si>
  <si>
    <t>PBB, retribusi, dsb bila ada</t>
  </si>
  <si>
    <t>TOTAL FIXED COST</t>
  </si>
  <si>
    <t>Isi - jika sudah menjadi hak milik dan tidak ada pengeluaran rutin bulanan tentang ini</t>
  </si>
  <si>
    <t>Isi jika ada karyawan tetap dan kosongkan/0 jika belum ada</t>
  </si>
  <si>
    <t>VARIABLE COST PER UNIT PRODUK</t>
  </si>
  <si>
    <t>Nama Produk</t>
  </si>
  <si>
    <t>Nama Bahan/Komponen</t>
  </si>
  <si>
    <t>Satuan</t>
  </si>
  <si>
    <t>Kuantitas per Unit</t>
  </si>
  <si>
    <t>Harga per Satuan (Rp)</t>
  </si>
  <si>
    <t>Biaya per Unit (Rp)</t>
  </si>
  <si>
    <t>Produk A</t>
  </si>
  <si>
    <t>Bahan Baku Utama</t>
  </si>
  <si>
    <t>kg</t>
  </si>
  <si>
    <t>Bahan Pendukung</t>
  </si>
  <si>
    <t>pcs</t>
  </si>
  <si>
    <t>Kemasan Primer</t>
  </si>
  <si>
    <t>Produk B</t>
  </si>
  <si>
    <t>RINGKASAN TOTAL VARIABLE COST PER PRODUK</t>
  </si>
  <si>
    <t>Total Variable Cost per Unit (Rp)</t>
  </si>
  <si>
    <t>OVERHEAD COST BULANAN</t>
  </si>
  <si>
    <t>% Alokasi ke Produksi</t>
  </si>
  <si>
    <t>Overhead Teralokasi (Rp)</t>
  </si>
  <si>
    <t>Listrik</t>
  </si>
  <si>
    <t>Air</t>
  </si>
  <si>
    <t>Transportasi/Distribusi</t>
  </si>
  <si>
    <t>Kemasan Sekunder &amp; Packing</t>
  </si>
  <si>
    <t>TOTAL OVERHEAD TERALOKASI</t>
  </si>
  <si>
    <t>Total Gross Requirements</t>
  </si>
  <si>
    <t>Avarage T. Gross Requirements</t>
  </si>
  <si>
    <t>D (Avarage x 52)</t>
  </si>
  <si>
    <t>S</t>
  </si>
  <si>
    <t>H (Holding Cost x 52)</t>
  </si>
  <si>
    <t>Q*</t>
  </si>
  <si>
    <t>per unit per week</t>
  </si>
  <si>
    <t>for each order</t>
  </si>
  <si>
    <t>Komponen</t>
  </si>
  <si>
    <t>Penjelasan</t>
  </si>
  <si>
    <t>Biaya Tetap</t>
  </si>
  <si>
    <t>Biaya yang harus dibayar meskipun tidak ada penjualan.</t>
  </si>
  <si>
    <t>Contoh</t>
  </si>
  <si>
    <t>Sewa tempat, gaji karyawan tetap, listrik dasar</t>
  </si>
  <si>
    <t>Biaya Variabel</t>
  </si>
  <si>
    <t>Biaya yang berubah sesuai jumlah produksi/penjualan.</t>
  </si>
  <si>
    <t>Biji Kopi, Gula, Susu</t>
  </si>
  <si>
    <t>Biaya Tidak Langsung</t>
  </si>
  <si>
    <t>Biaya yang mendukung operasional tapi tidak langsung terkait produksi satu unit barang.</t>
  </si>
  <si>
    <t>Biaya kebersihan, administrasi, peralatan kantor,</t>
  </si>
  <si>
    <t>INVENTORI - MODEL EOQ + SAFETY STOCK vs LFL + SAFETY STOCK</t>
  </si>
  <si>
    <t>DATA INPUT (isi dari hasil wawancara UMKM)</t>
  </si>
  <si>
    <t>HELPER (perhitungan harian)</t>
  </si>
  <si>
    <t>MODEL LFL + SAFETY STOCK</t>
  </si>
  <si>
    <t>Nama Barang/Bahan Baku</t>
  </si>
  <si>
    <t>Permintaan Rata-rata/Bulan (unit)</t>
  </si>
  <si>
    <t>Permintaan Maksimum/Bulan (unit)</t>
  </si>
  <si>
    <t>Lead Time Rata-rata (hari)</t>
  </si>
  <si>
    <t>Lead Time Maksimum (hari)</t>
  </si>
  <si>
    <t>Biaya Pemesanan per Order (Rp)</t>
  </si>
  <si>
    <t>Biaya Simpan per Unit/Bulan (Rp)</t>
  </si>
  <si>
    <t>Harga Beli per Unit (Rp)</t>
  </si>
  <si>
    <t>Stok Saat Ini (unit)</t>
  </si>
  <si>
    <t>Permintaan Harian Rata-rata</t>
  </si>
  <si>
    <t>Permintaan Harian Maksimum</t>
  </si>
  <si>
    <t>Permintaan Tahunan (D)</t>
  </si>
  <si>
    <t>EOQ (unit/order)</t>
  </si>
  <si>
    <t>Safety Stock (unit)</t>
  </si>
  <si>
    <t>Reorder Point (unit)</t>
  </si>
  <si>
    <t>Status Reorder</t>
  </si>
  <si>
    <t>Kebutuhan Bulan Depan (unit)</t>
  </si>
  <si>
    <t>Safety Stock LFL (unit)</t>
  </si>
  <si>
    <t>Jumlah Pesan (unit)</t>
  </si>
  <si>
    <t>Bahan Baku A (contoh)</t>
  </si>
  <si>
    <t>Bahan Baku B (contoh)</t>
  </si>
  <si>
    <t>Bahan Baku C (contoh)</t>
  </si>
  <si>
    <t>CASH FLOW &amp; PROFIT BULANAN PER PRODUK</t>
  </si>
  <si>
    <t>Bulan</t>
  </si>
  <si>
    <t>Unit Terjual</t>
  </si>
  <si>
    <t>Harga Jual per Unit (Rp)</t>
  </si>
  <si>
    <t>Revenue (Rp)</t>
  </si>
  <si>
    <t>Variable Cost/Unit (Rp)</t>
  </si>
  <si>
    <t>Total Variable Cost (Rp)</t>
  </si>
  <si>
    <t>% Alokasi Fixed Cost</t>
  </si>
  <si>
    <t>Alokasi Fixed Cost (Rp)</t>
  </si>
  <si>
    <t>% Alokasi Overhead</t>
  </si>
  <si>
    <t>Alokasi Overhead (Rp)</t>
  </si>
  <si>
    <t>Total Cost (Rp)</t>
  </si>
  <si>
    <t>Profit (Rp)</t>
  </si>
  <si>
    <t>Profit Margin (%)</t>
  </si>
  <si>
    <t>Bulan 1</t>
  </si>
  <si>
    <t>Bulan 2</t>
  </si>
  <si>
    <t>DASHBOARD RINGKASAN UMKM</t>
  </si>
  <si>
    <t>RINGKASAN BIAYA BULANAN</t>
  </si>
  <si>
    <t>Nominal (Rp)</t>
  </si>
  <si>
    <t>Total Fixed Cost</t>
  </si>
  <si>
    <t>Total Overhead Teralokasi</t>
  </si>
  <si>
    <t>Total Variable Cost (bulan berjalan)</t>
  </si>
  <si>
    <t>RINGKASAN PROFIT BULANAN</t>
  </si>
  <si>
    <t>Total Revenue</t>
  </si>
  <si>
    <t>Total Cost</t>
  </si>
  <si>
    <t>Total Profit</t>
  </si>
  <si>
    <t>Profit Margin Rata-rata</t>
  </si>
  <si>
    <t>STATUS REORDER INVENTORI</t>
  </si>
  <si>
    <t>units per week</t>
  </si>
  <si>
    <t>Lead Time (minggu)</t>
  </si>
  <si>
    <t>Reorder Point (ROP)</t>
  </si>
  <si>
    <t>week</t>
  </si>
  <si>
    <t>Total</t>
  </si>
  <si>
    <t>Perlu Segera Pesan (Model EOQ)</t>
  </si>
  <si>
    <t>Perlu Segera Pesan (Model LFL)</t>
  </si>
  <si>
    <t>CATATAN PENTING (WAJIB DIBACA)</t>
  </si>
  <si>
    <t>1.</t>
  </si>
  <si>
    <t>Seluruh angka pada sheet Fixed Cost, Variable Cost, Overhead Cost, Inventori, dan Cash Flow saat ini adalah DATA DUMMY/CONTOH untuk menguji struktur rumus - BUKAN data riil UMKM.</t>
  </si>
  <si>
    <t>KODE WARNA SEL</t>
  </si>
  <si>
    <t>Biru</t>
  </si>
  <si>
    <t>Hitam</t>
  </si>
  <si>
    <t>Hijau</t>
  </si>
  <si>
    <t>Kuning (latar)</t>
  </si>
  <si>
    <t>DAFTAR SHEET</t>
  </si>
  <si>
    <t>Asumsi</t>
  </si>
  <si>
    <t>Parameter umum (hari kerja/bulan) yang dipakai formula di sheet lain</t>
  </si>
  <si>
    <t>Fixed Cost</t>
  </si>
  <si>
    <t>Biaya tetap bulanan (sewa, gaji tetap, penyusutan, dst)</t>
  </si>
  <si>
    <t>Variable Cost</t>
  </si>
  <si>
    <t>Biaya bahan/komponen per unit produk</t>
  </si>
  <si>
    <t>Overhead Cost</t>
  </si>
  <si>
    <t>Biaya operasional pendukung (listrik, air, transportasi, kemasan)</t>
  </si>
  <si>
    <t>Inventori</t>
  </si>
  <si>
    <t>Model EOQ+Safety Stock dan LFL+Safety Stock per bahan baku</t>
  </si>
  <si>
    <t>Cash Flow &amp; Profit</t>
  </si>
  <si>
    <t>Revenue, total cost, profit, dan margin bulanan per produk</t>
  </si>
  <si>
    <t>Dashboard</t>
  </si>
  <si>
    <t>Ringkasan visual seluruh sheet</t>
  </si>
  <si>
    <t>Model EOQ mengasumsikan permintaan relatif stabil. Untuk UMKM dengan permintaan sangat fluktuatif (mis. musim wisata ramai vs sepi), bandingkan hasil pada Sheet Inventori Fix atau Inventori Harian menggunakan metode EOQ dan Metode LFL, lalu pilih yang paling sesuai kondisi lapangan.</t>
  </si>
  <si>
    <t>Safety Stock di Sheet Inventori merujuk pada stok yang akan disimpan untuk jaga jaga pada UMKM</t>
  </si>
  <si>
    <t>Alokasi Fixed Cost dan Overhead ke tiap produk pada sheet Arus Kas memakai persentase yang HARUS diisi manual sesuai estimasi pemilik UMKM (mis. berdasarkan proporsi waktu produksi atau volume produksi).</t>
  </si>
  <si>
    <t>Angka yang boleh diubah</t>
  </si>
  <si>
    <t>Hasil perhitungan</t>
  </si>
  <si>
    <t>Data referensi lain dari sheet lain</t>
  </si>
  <si>
    <t>Asumsi yang perlu diperhatikan</t>
  </si>
  <si>
    <t>Minggu</t>
  </si>
  <si>
    <t>Kuantitas/Banyaknya</t>
  </si>
  <si>
    <t>Kebutuhan Total</t>
  </si>
  <si>
    <t>Barang Masuk Terjadwal</t>
  </si>
  <si>
    <t>Stok yang Ada</t>
  </si>
  <si>
    <t>Kebutuhan Bersih</t>
  </si>
  <si>
    <t>Pesanan Masuk Direncanakan</t>
  </si>
  <si>
    <t>Pesanan Dibuat ke Supplier Segera</t>
  </si>
  <si>
    <t xml:space="preserve">Waktu Tunggu : </t>
  </si>
  <si>
    <t>Stok Jaga Jaga :</t>
  </si>
  <si>
    <t>minggu</t>
  </si>
  <si>
    <t>Units per minggu</t>
  </si>
  <si>
    <t>Biaya Menyimpan :</t>
  </si>
  <si>
    <t>per unit per minggu</t>
  </si>
  <si>
    <t>Biaya Mesin :</t>
  </si>
  <si>
    <t>untuk setiap pesanan</t>
  </si>
  <si>
    <t>Total biaya simpan:</t>
  </si>
  <si>
    <t>Total biaya mesin:</t>
  </si>
  <si>
    <t>Total biaya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</si>
</sst>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
    <numFmt numFmtId="167" formatCode="0.0"/>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1"/>
      <name val="Arial"/>
      <family val="2"/>
    </font>
    <font>
      <sz val="11"/>
      <color rgb="FF0000FF"/>
      <name val="Arial"/>
      <family val="2"/>
    </font>
    <font>
      <b/>
      <sz val="11"/>
      <name val="Calibri"/>
      <family val="2"/>
      <scheme val="minor"/>
    </font>
    <font>
      <sz val="11"/>
      <color rgb="FF0000FF"/>
      <name val="Calibri"/>
      <family val="2"/>
      <scheme val="minor"/>
    </font>
    <font>
      <b/>
      <sz val="12"/>
      <name val="Calibri"/>
      <family val="2"/>
      <scheme val="minor"/>
    </font>
    <font>
      <sz val="12"/>
      <color theme="1"/>
      <name val="Calibri"/>
      <family val="2"/>
      <scheme val="minor"/>
    </font>
    <font>
      <sz val="12"/>
      <color rgb="FF0000FF"/>
      <name val="Calibri"/>
      <family val="2"/>
      <scheme val="minor"/>
    </font>
    <font>
      <b/>
      <sz val="11"/>
      <color rgb="FFFFFFFF"/>
      <name val="Arial"/>
      <family val="2"/>
    </font>
    <font>
      <b/>
      <sz val="11"/>
      <name val="Arial"/>
      <family val="2"/>
    </font>
    <font>
      <sz val="11"/>
      <color rgb="FF0000FF"/>
      <name val="Arial"/>
      <family val="2"/>
    </font>
    <font>
      <sz val="11"/>
      <color rgb="FF000000"/>
      <name val="Arial"/>
      <family val="2"/>
    </font>
    <font>
      <sz val="11"/>
      <color theme="1"/>
      <name val="Times New Roman"/>
      <family val="1"/>
    </font>
    <font>
      <sz val="12"/>
      <color theme="1"/>
      <name val="Times New Roman"/>
      <family val="1"/>
    </font>
    <font>
      <b/>
      <sz val="11"/>
      <color rgb="FFFFFFFF"/>
      <name val="Arial"/>
      <family val="2"/>
    </font>
    <font>
      <sz val="11"/>
      <color rgb="FF000000"/>
      <name val="Arial"/>
      <family val="2"/>
    </font>
    <font>
      <sz val="11"/>
      <color rgb="FF008000"/>
      <name val="Arial"/>
      <family val="2"/>
    </font>
    <font>
      <b/>
      <sz val="11"/>
      <color rgb="FFFFFFFF"/>
      <name val="Calibri"/>
      <family val="2"/>
      <scheme val="minor"/>
    </font>
    <font>
      <sz val="11"/>
      <color rgb="FF000000"/>
      <name val="Calibri"/>
      <family val="2"/>
      <scheme val="minor"/>
    </font>
    <font>
      <sz val="11"/>
      <color rgb="FF008000"/>
      <name val="Calibri"/>
      <family val="2"/>
      <scheme val="minor"/>
    </font>
    <font>
      <sz val="10"/>
      <color rgb="FF000000"/>
      <name val="Arial"/>
      <family val="2"/>
    </font>
    <font>
      <sz val="11"/>
      <color rgb="FF008000"/>
      <name val="Arial"/>
      <family val="2"/>
    </font>
    <font>
      <sz val="11"/>
      <name val="Calibri"/>
      <family val="2"/>
      <scheme val="minor"/>
    </font>
    <font>
      <b/>
      <sz val="11"/>
      <color rgb="FF000000"/>
      <name val="Calibri"/>
      <family val="2"/>
      <scheme val="minor"/>
    </font>
  </fonts>
  <fills count="10">
    <fill>
      <patternFill patternType="none"/>
    </fill>
    <fill>
      <patternFill patternType="gray125"/>
    </fill>
    <fill>
      <patternFill patternType="solid">
        <fgColor rgb="FFD9E1F2"/>
        <bgColor rgb="FFD9D9D9"/>
      </patternFill>
    </fill>
    <fill>
      <patternFill patternType="solid">
        <fgColor rgb="FFFFFF00"/>
        <bgColor rgb="FFFFFF00"/>
      </patternFill>
    </fill>
    <fill>
      <patternFill patternType="solid">
        <fgColor theme="0"/>
        <bgColor indexed="64"/>
      </patternFill>
    </fill>
    <fill>
      <patternFill patternType="solid">
        <fgColor theme="0"/>
        <bgColor rgb="FFD9D9D9"/>
      </patternFill>
    </fill>
    <fill>
      <patternFill patternType="solid">
        <fgColor rgb="FF00B0F0"/>
        <bgColor indexed="64"/>
      </patternFill>
    </fill>
    <fill>
      <patternFill patternType="solid">
        <fgColor rgb="FF1F4E78"/>
        <bgColor rgb="FF003366"/>
      </patternFill>
    </fill>
    <fill>
      <patternFill patternType="solid">
        <fgColor rgb="FFBDD7EE"/>
        <bgColor rgb="FFD9D9D9"/>
      </patternFill>
    </fill>
    <fill>
      <patternFill patternType="solid">
        <fgColor rgb="FFFFFFFF"/>
        <bgColor rgb="FFFFFFCC"/>
      </patternFill>
    </fill>
  </fills>
  <borders count="13">
    <border>
      <left/>
      <right/>
      <top/>
      <bottom/>
      <diagonal/>
    </border>
    <border>
      <left style="thin">
        <color rgb="FFB7B7B7"/>
      </left>
      <right style="thin">
        <color rgb="FFB7B7B7"/>
      </right>
      <top style="thin">
        <color rgb="FFB7B7B7"/>
      </top>
      <bottom style="thin">
        <color rgb="FFB7B7B7"/>
      </bottom>
      <diagonal/>
    </border>
    <border>
      <left/>
      <right/>
      <top/>
      <bottom style="thin">
        <color rgb="FFB7B7B7"/>
      </bottom>
      <diagonal/>
    </border>
    <border>
      <left style="thin">
        <color indexed="64"/>
      </left>
      <right style="thin">
        <color indexed="64"/>
      </right>
      <top style="thin">
        <color indexed="64"/>
      </top>
      <bottom style="thin">
        <color indexed="64"/>
      </bottom>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2">
    <xf numFmtId="0" fontId="0" fillId="0" borderId="0"/>
    <xf numFmtId="0" fontId="22" fillId="0" borderId="0"/>
  </cellStyleXfs>
  <cellXfs count="77">
    <xf numFmtId="0" fontId="0" fillId="0" borderId="0" xfId="0"/>
    <xf numFmtId="0" fontId="3" fillId="2" borderId="1" xfId="0" applyFont="1" applyFill="1" applyBorder="1" applyAlignment="1">
      <alignment horizontal="center" vertical="center" wrapText="1"/>
    </xf>
    <xf numFmtId="0" fontId="0" fillId="0" borderId="1" xfId="0" applyBorder="1"/>
    <xf numFmtId="0" fontId="4" fillId="0" borderId="1" xfId="0" applyFont="1" applyBorder="1"/>
    <xf numFmtId="0" fontId="5" fillId="2" borderId="1" xfId="0" applyFont="1" applyFill="1" applyBorder="1" applyAlignment="1">
      <alignment horizontal="center" vertical="center" wrapText="1"/>
    </xf>
    <xf numFmtId="0" fontId="0" fillId="4" borderId="0" xfId="0" applyFill="1"/>
    <xf numFmtId="0" fontId="7" fillId="5" borderId="3" xfId="0" applyFont="1" applyFill="1" applyBorder="1" applyAlignment="1">
      <alignment horizontal="center" vertical="center" wrapText="1"/>
    </xf>
    <xf numFmtId="0" fontId="8" fillId="4" borderId="3" xfId="0" applyFont="1" applyFill="1" applyBorder="1"/>
    <xf numFmtId="0" fontId="8" fillId="4" borderId="3" xfId="0" applyFont="1" applyFill="1" applyBorder="1" applyAlignment="1">
      <alignment wrapText="1"/>
    </xf>
    <xf numFmtId="0" fontId="9" fillId="4" borderId="3" xfId="0" applyFont="1" applyFill="1" applyBorder="1"/>
    <xf numFmtId="0" fontId="9" fillId="3" borderId="3" xfId="0" applyFont="1" applyFill="1" applyBorder="1"/>
    <xf numFmtId="0" fontId="11" fillId="2" borderId="1" xfId="0" applyFont="1" applyFill="1" applyBorder="1" applyAlignment="1">
      <alignment horizontal="center" vertical="center" wrapText="1"/>
    </xf>
    <xf numFmtId="0" fontId="12" fillId="0" borderId="1" xfId="0" applyFont="1" applyBorder="1"/>
    <xf numFmtId="164" fontId="12" fillId="0" borderId="1" xfId="0" applyNumberFormat="1" applyFont="1" applyBorder="1"/>
    <xf numFmtId="164" fontId="11" fillId="8" borderId="1" xfId="0" applyNumberFormat="1" applyFont="1" applyFill="1" applyBorder="1"/>
    <xf numFmtId="164" fontId="13" fillId="0" borderId="1" xfId="0" applyNumberFormat="1" applyFont="1" applyBorder="1"/>
    <xf numFmtId="0" fontId="10" fillId="7" borderId="0" xfId="0" applyFont="1" applyFill="1" applyAlignment="1">
      <alignment vertical="center"/>
    </xf>
    <xf numFmtId="165" fontId="12" fillId="0" borderId="1" xfId="0" applyNumberFormat="1" applyFont="1" applyBorder="1"/>
    <xf numFmtId="0" fontId="14" fillId="0" borderId="8" xfId="0" applyFont="1" applyBorder="1"/>
    <xf numFmtId="0" fontId="15" fillId="0" borderId="7" xfId="0" applyFont="1" applyBorder="1"/>
    <xf numFmtId="0" fontId="0" fillId="4" borderId="3" xfId="0" applyFill="1" applyBorder="1"/>
    <xf numFmtId="0" fontId="2" fillId="4" borderId="3" xfId="0" applyFont="1" applyFill="1" applyBorder="1"/>
    <xf numFmtId="0" fontId="16" fillId="7" borderId="0" xfId="0" applyFont="1" applyFill="1" applyAlignment="1">
      <alignment horizontal="center" vertical="center"/>
    </xf>
    <xf numFmtId="164" fontId="4" fillId="0" borderId="1" xfId="0" applyNumberFormat="1" applyFont="1" applyBorder="1"/>
    <xf numFmtId="2" fontId="17" fillId="0" borderId="1" xfId="0" applyNumberFormat="1" applyFont="1" applyBorder="1"/>
    <xf numFmtId="3" fontId="17" fillId="0" borderId="1" xfId="0" applyNumberFormat="1" applyFont="1" applyBorder="1"/>
    <xf numFmtId="0" fontId="17" fillId="0" borderId="1" xfId="0" applyFont="1" applyBorder="1" applyAlignment="1">
      <alignment horizontal="center"/>
    </xf>
    <xf numFmtId="3" fontId="18" fillId="0" borderId="1" xfId="0" applyNumberFormat="1" applyFont="1" applyBorder="1"/>
    <xf numFmtId="0" fontId="0" fillId="0" borderId="0" xfId="0"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164" fontId="20" fillId="0" borderId="1" xfId="0" applyNumberFormat="1" applyFont="1" applyBorder="1" applyAlignment="1">
      <alignment horizontal="center" vertical="center"/>
    </xf>
    <xf numFmtId="164" fontId="21"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165" fontId="20" fillId="0" borderId="1" xfId="0" applyNumberFormat="1" applyFont="1" applyBorder="1" applyAlignment="1">
      <alignment horizontal="center" vertical="center"/>
    </xf>
    <xf numFmtId="0" fontId="2" fillId="0" borderId="1" xfId="0" applyFont="1" applyBorder="1" applyAlignment="1">
      <alignment horizontal="center" vertical="center"/>
    </xf>
    <xf numFmtId="0" fontId="20" fillId="0" borderId="3" xfId="1" applyFont="1" applyBorder="1"/>
    <xf numFmtId="0" fontId="20" fillId="0" borderId="0" xfId="1" applyFont="1"/>
    <xf numFmtId="0" fontId="1" fillId="0" borderId="0" xfId="0" applyFont="1"/>
    <xf numFmtId="0" fontId="20" fillId="0" borderId="0" xfId="1" applyFont="1" applyAlignment="1">
      <alignment horizontal="right"/>
    </xf>
    <xf numFmtId="0" fontId="20" fillId="0" borderId="3" xfId="1" applyFont="1" applyBorder="1" applyAlignment="1">
      <alignment horizontal="right"/>
    </xf>
    <xf numFmtId="166" fontId="20" fillId="0" borderId="0" xfId="1" applyNumberFormat="1" applyFont="1"/>
    <xf numFmtId="0" fontId="20" fillId="0" borderId="10" xfId="1" applyFont="1" applyBorder="1"/>
    <xf numFmtId="0" fontId="20" fillId="0" borderId="11" xfId="1" applyFont="1" applyBorder="1" applyAlignment="1">
      <alignment horizontal="right"/>
    </xf>
    <xf numFmtId="0" fontId="24" fillId="0" borderId="0" xfId="1" applyFont="1"/>
    <xf numFmtId="0" fontId="24" fillId="0" borderId="0" xfId="1" applyFont="1" applyAlignment="1">
      <alignment horizontal="right"/>
    </xf>
    <xf numFmtId="0" fontId="5" fillId="0" borderId="0" xfId="1" applyFont="1" applyAlignment="1">
      <alignment horizontal="right"/>
    </xf>
    <xf numFmtId="167" fontId="24" fillId="0" borderId="0" xfId="1" applyNumberFormat="1" applyFont="1" applyAlignment="1">
      <alignment horizontal="right"/>
    </xf>
    <xf numFmtId="0" fontId="25" fillId="0" borderId="3" xfId="1" applyFont="1" applyBorder="1"/>
    <xf numFmtId="0" fontId="25" fillId="0" borderId="9" xfId="1" applyFont="1" applyBorder="1"/>
    <xf numFmtId="0" fontId="25" fillId="0" borderId="12" xfId="1" applyFont="1" applyBorder="1"/>
    <xf numFmtId="0" fontId="5" fillId="0" borderId="0" xfId="1" applyFont="1"/>
    <xf numFmtId="0" fontId="20" fillId="9" borderId="3" xfId="1" applyFont="1" applyFill="1" applyBorder="1" applyAlignment="1">
      <alignment horizontal="right"/>
    </xf>
    <xf numFmtId="0" fontId="6" fillId="0" borderId="0" xfId="0" applyFont="1" applyAlignment="1">
      <alignment horizontal="center" vertical="center"/>
    </xf>
    <xf numFmtId="165" fontId="20" fillId="0" borderId="0" xfId="0" applyNumberFormat="1" applyFont="1" applyAlignment="1">
      <alignment horizontal="center" vertical="center"/>
    </xf>
    <xf numFmtId="0" fontId="21" fillId="2" borderId="1" xfId="0" applyFont="1" applyFill="1" applyBorder="1" applyAlignment="1">
      <alignment horizontal="center" vertical="center" wrapText="1"/>
    </xf>
    <xf numFmtId="0" fontId="5" fillId="0" borderId="0" xfId="0" applyFont="1" applyAlignment="1">
      <alignment horizontal="center" vertical="center"/>
    </xf>
    <xf numFmtId="0" fontId="11" fillId="0" borderId="0" xfId="0" applyFont="1"/>
    <xf numFmtId="0" fontId="0" fillId="0" borderId="0" xfId="0" applyAlignment="1">
      <alignment vertical="top" wrapText="1"/>
    </xf>
    <xf numFmtId="0" fontId="12" fillId="0" borderId="0" xfId="0" applyFont="1"/>
    <xf numFmtId="0" fontId="13" fillId="0" borderId="0" xfId="0" applyFont="1"/>
    <xf numFmtId="0" fontId="23" fillId="0" borderId="0" xfId="0" applyFont="1"/>
    <xf numFmtId="0" fontId="11" fillId="3" borderId="0" xfId="0" applyFont="1" applyFill="1"/>
    <xf numFmtId="0" fontId="11" fillId="0" borderId="0" xfId="0" applyFont="1" applyAlignment="1">
      <alignment horizontal="center" vertical="center"/>
    </xf>
    <xf numFmtId="164" fontId="0" fillId="6" borderId="0" xfId="0" applyNumberFormat="1" applyFill="1"/>
    <xf numFmtId="0" fontId="2" fillId="6" borderId="3" xfId="0" applyFont="1" applyFill="1" applyBorder="1" applyAlignment="1">
      <alignment horizontal="center"/>
    </xf>
    <xf numFmtId="0" fontId="11" fillId="0" borderId="0" xfId="0" applyFont="1" applyAlignment="1">
      <alignment horizontal="center"/>
    </xf>
    <xf numFmtId="0" fontId="10" fillId="7" borderId="0" xfId="0" applyFont="1" applyFill="1" applyAlignment="1">
      <alignment horizontal="center" vertical="center"/>
    </xf>
    <xf numFmtId="0" fontId="11" fillId="8" borderId="4" xfId="0" applyFont="1" applyFill="1" applyBorder="1" applyAlignment="1">
      <alignment horizontal="center"/>
    </xf>
    <xf numFmtId="0" fontId="11" fillId="8" borderId="5" xfId="0" applyFont="1" applyFill="1" applyBorder="1" applyAlignment="1">
      <alignment horizontal="center"/>
    </xf>
    <xf numFmtId="0" fontId="10" fillId="7" borderId="2" xfId="0" applyFont="1" applyFill="1" applyBorder="1" applyAlignment="1">
      <alignment horizontal="center" vertical="center"/>
    </xf>
    <xf numFmtId="0" fontId="11" fillId="8" borderId="6" xfId="0" applyFont="1" applyFill="1" applyBorder="1" applyAlignment="1">
      <alignment horizontal="center"/>
    </xf>
    <xf numFmtId="0" fontId="16" fillId="7" borderId="0" xfId="0" applyFont="1" applyFill="1" applyAlignment="1">
      <alignment horizontal="center" vertical="center"/>
    </xf>
    <xf numFmtId="0" fontId="19" fillId="7" borderId="2" xfId="0" applyFont="1" applyFill="1" applyBorder="1" applyAlignment="1">
      <alignment horizontal="center" vertical="center"/>
    </xf>
    <xf numFmtId="0" fontId="19" fillId="7" borderId="0" xfId="0" applyFont="1" applyFill="1" applyAlignment="1">
      <alignment horizontal="center" vertical="center"/>
    </xf>
    <xf numFmtId="0" fontId="19" fillId="7" borderId="1" xfId="0" applyFont="1" applyFill="1" applyBorder="1" applyAlignment="1">
      <alignment horizontal="center" vertical="center"/>
    </xf>
  </cellXfs>
  <cellStyles count="2">
    <cellStyle name="Normal" xfId="0" builtinId="0"/>
    <cellStyle name="Normal 2" xfId="1" xr:uid="{0169534D-2231-46BD-808C-56824042BD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Profit per Produk per Bulan (Rp)</a:t>
            </a:r>
          </a:p>
        </c:rich>
      </c:tx>
      <c:overlay val="0"/>
      <c:spPr>
        <a:noFill/>
        <a:ln w="0">
          <a:noFill/>
        </a:ln>
      </c:spPr>
    </c:title>
    <c:autoTitleDeleted val="0"/>
    <c:plotArea>
      <c:layout/>
      <c:barChart>
        <c:barDir val="col"/>
        <c:grouping val="clustered"/>
        <c:varyColors val="0"/>
        <c:ser>
          <c:idx val="0"/>
          <c:order val="0"/>
          <c:tx>
            <c:strRef>
              <c:f>'[1]Cash Flow &amp; Profit'!$N$3</c:f>
              <c:strCache>
                <c:ptCount val="1"/>
                <c:pt idx="0">
                  <c:v>Profit (Rp)</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'[1]Cash Flow &amp; Profit'!$C$4:$C$7</c:f>
              <c:strCache>
                <c:ptCount val="4"/>
                <c:pt idx="0">
                  <c:v>Produk A</c:v>
                </c:pt>
                <c:pt idx="1">
                  <c:v>Produk B</c:v>
                </c:pt>
                <c:pt idx="2">
                  <c:v>Produk A</c:v>
                </c:pt>
                <c:pt idx="3">
                  <c:v>Produk B</c:v>
                </c:pt>
              </c:strCache>
            </c:strRef>
          </c:cat>
          <c:val>
            <c:numRef>
              <c:f>'[1]Cash Flow &amp; Profit'!$N$4:$N$7</c:f>
              <c:numCache>
                <c:formatCode>General</c:formatCode>
                <c:ptCount val="4"/>
                <c:pt idx="0">
                  <c:v>4974000</c:v>
                </c:pt>
                <c:pt idx="1">
                  <c:v>2403500</c:v>
                </c:pt>
                <c:pt idx="2">
                  <c:v>5414500</c:v>
                </c:pt>
                <c:pt idx="3">
                  <c:v>2458500</c:v>
                </c:pt>
              </c:numCache>
            </c:numRef>
          </c:val>
          <c:extLst>
            <c:ext xmlns:c16="http://schemas.microsoft.com/office/drawing/2014/chart" uri="{C3380CC4-5D6E-409C-BE32-E72D297353CC}">
              <c16:uniqueId val="{00000000-C55E-4315-8377-89511794C501}"/>
            </c:ext>
          </c:extLst>
        </c:ser>
        <c:dLbls>
          <c:showLegendKey val="0"/>
          <c:showVal val="0"/>
          <c:showCatName val="0"/>
          <c:showSerName val="0"/>
          <c:showPercent val="0"/>
          <c:showBubbleSize val="0"/>
        </c:dLbls>
        <c:gapWidth val="150"/>
        <c:axId val="82979400"/>
        <c:axId val="1738102"/>
      </c:barChart>
      <c:catAx>
        <c:axId val="82979400"/>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Produk - Bulan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38102"/>
        <c:crosses val="autoZero"/>
        <c:auto val="1"/>
        <c:lblAlgn val="ctr"/>
        <c:lblOffset val="100"/>
        <c:noMultiLvlLbl val="0"/>
      </c:catAx>
      <c:valAx>
        <c:axId val="173810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Profit (Rp)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9794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160920</xdr:rowOff>
    </xdr:from>
    <xdr:to>
      <xdr:col>10</xdr:col>
      <xdr:colOff>445900</xdr:colOff>
      <xdr:row>21</xdr:row>
      <xdr:rowOff>170270</xdr:rowOff>
    </xdr:to>
    <xdr:graphicFrame macro="">
      <xdr:nvGraphicFramePr>
        <xdr:cNvPr id="2" name="Chart 1">
          <a:extLst>
            <a:ext uri="{FF2B5EF4-FFF2-40B4-BE49-F238E27FC236}">
              <a16:creationId xmlns:a16="http://schemas.microsoft.com/office/drawing/2014/main" id="{9C89EC0D-E07A-408B-AB22-C5415D8EA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Sheet_Inventori_Finansial_UMKM_KKN_Samosir.xlsx" TargetMode="External"/><Relationship Id="rId1" Type="http://schemas.openxmlformats.org/officeDocument/2006/relationships/externalLinkPath" Target="file:///C:\Users\lenovo\Downloads\Sheet_Inventori_Finansial_UMKM_KKN_Samosi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nduan"/>
      <sheetName val="Asumsi"/>
      <sheetName val="Fixed Cost"/>
      <sheetName val="Variable Cost"/>
      <sheetName val="Overhead Cost"/>
      <sheetName val="Inventori"/>
      <sheetName val="Cash Flow &amp; Profit"/>
      <sheetName val="Dashboard"/>
    </sheetNames>
    <sheetDataSet>
      <sheetData sheetId="0"/>
      <sheetData sheetId="1">
        <row r="4">
          <cell r="C4">
            <v>26</v>
          </cell>
        </row>
        <row r="5">
          <cell r="C5">
            <v>12</v>
          </cell>
        </row>
      </sheetData>
      <sheetData sheetId="2"/>
      <sheetData sheetId="3"/>
      <sheetData sheetId="4"/>
      <sheetData sheetId="5"/>
      <sheetData sheetId="6">
        <row r="3">
          <cell r="N3" t="str">
            <v>Profit (Rp)</v>
          </cell>
        </row>
        <row r="4">
          <cell r="C4" t="str">
            <v>Produk A</v>
          </cell>
          <cell r="N4">
            <v>4974000</v>
          </cell>
        </row>
        <row r="5">
          <cell r="C5" t="str">
            <v>Produk B</v>
          </cell>
          <cell r="N5">
            <v>2403500</v>
          </cell>
        </row>
        <row r="6">
          <cell r="C6" t="str">
            <v>Produk A</v>
          </cell>
          <cell r="N6">
            <v>5414500</v>
          </cell>
        </row>
        <row r="7">
          <cell r="C7" t="str">
            <v>Produk B</v>
          </cell>
          <cell r="N7">
            <v>2458500</v>
          </cell>
        </row>
      </sheetData>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0C197-4CF1-4CBA-AC68-D63CB30B3051}">
  <dimension ref="A1:C4"/>
  <sheetViews>
    <sheetView workbookViewId="0">
      <selection activeCell="B4" sqref="B4"/>
    </sheetView>
  </sheetViews>
  <sheetFormatPr defaultRowHeight="14.5" x14ac:dyDescent="0.35"/>
  <cols>
    <col min="1" max="1" width="20" style="5" bestFit="1" customWidth="1"/>
    <col min="2" max="2" width="5" style="5" bestFit="1" customWidth="1"/>
    <col min="3" max="3" width="16.36328125" style="5" bestFit="1" customWidth="1"/>
    <col min="4" max="16384" width="8.7265625" style="5"/>
  </cols>
  <sheetData>
    <row r="1" spans="1:3" x14ac:dyDescent="0.35">
      <c r="A1" s="66" t="s">
        <v>7</v>
      </c>
      <c r="B1" s="66"/>
      <c r="C1" s="66"/>
    </row>
    <row r="2" spans="1:3" ht="15.5" x14ac:dyDescent="0.35">
      <c r="A2" s="6" t="s">
        <v>0</v>
      </c>
      <c r="B2" s="6" t="s">
        <v>1</v>
      </c>
      <c r="C2" s="6" t="s">
        <v>2</v>
      </c>
    </row>
    <row r="3" spans="1:3" ht="77.5" x14ac:dyDescent="0.35">
      <c r="A3" s="7" t="s">
        <v>3</v>
      </c>
      <c r="B3" s="10">
        <v>26</v>
      </c>
      <c r="C3" s="8" t="s">
        <v>5</v>
      </c>
    </row>
    <row r="4" spans="1:3" ht="124" x14ac:dyDescent="0.35">
      <c r="A4" s="7" t="s">
        <v>4</v>
      </c>
      <c r="B4" s="9">
        <v>12</v>
      </c>
      <c r="C4" s="8" t="s">
        <v>6</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0A254-C86F-4445-8C5F-C50591F4C408}">
  <dimension ref="A1:C4"/>
  <sheetViews>
    <sheetView workbookViewId="0">
      <selection activeCell="B8" sqref="B8"/>
    </sheetView>
  </sheetViews>
  <sheetFormatPr defaultRowHeight="14.5" x14ac:dyDescent="0.35"/>
  <cols>
    <col min="1" max="1" width="18.54296875" style="5" bestFit="1" customWidth="1"/>
    <col min="2" max="2" width="75.81640625" style="5" bestFit="1" customWidth="1"/>
    <col min="3" max="3" width="42" style="5" bestFit="1" customWidth="1"/>
    <col min="4" max="16384" width="8.7265625" style="5"/>
  </cols>
  <sheetData>
    <row r="1" spans="1:3" x14ac:dyDescent="0.35">
      <c r="A1" s="21" t="s">
        <v>54</v>
      </c>
      <c r="B1" s="21" t="s">
        <v>55</v>
      </c>
      <c r="C1" s="21" t="s">
        <v>58</v>
      </c>
    </row>
    <row r="2" spans="1:3" x14ac:dyDescent="0.35">
      <c r="A2" s="20" t="s">
        <v>56</v>
      </c>
      <c r="B2" s="20" t="s">
        <v>57</v>
      </c>
      <c r="C2" s="20" t="s">
        <v>59</v>
      </c>
    </row>
    <row r="3" spans="1:3" x14ac:dyDescent="0.35">
      <c r="A3" s="20" t="s">
        <v>60</v>
      </c>
      <c r="B3" s="20" t="s">
        <v>61</v>
      </c>
      <c r="C3" s="20" t="s">
        <v>62</v>
      </c>
    </row>
    <row r="4" spans="1:3" x14ac:dyDescent="0.35">
      <c r="A4" s="20" t="s">
        <v>63</v>
      </c>
      <c r="B4" s="20" t="s">
        <v>64</v>
      </c>
      <c r="C4" s="20"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09357-46F0-484B-B6B7-F58CA8AFE441}">
  <dimension ref="A1:B21"/>
  <sheetViews>
    <sheetView workbookViewId="0">
      <selection activeCell="B4" sqref="B4"/>
    </sheetView>
  </sheetViews>
  <sheetFormatPr defaultRowHeight="14.5" x14ac:dyDescent="0.35"/>
  <cols>
    <col min="1" max="1" width="36.81640625" bestFit="1" customWidth="1"/>
    <col min="2" max="2" width="60" bestFit="1" customWidth="1"/>
  </cols>
  <sheetData>
    <row r="1" spans="1:2" x14ac:dyDescent="0.35">
      <c r="A1" s="67" t="s">
        <v>127</v>
      </c>
      <c r="B1" s="67"/>
    </row>
    <row r="2" spans="1:2" ht="72.5" x14ac:dyDescent="0.35">
      <c r="A2" s="64" t="s">
        <v>128</v>
      </c>
      <c r="B2" s="59" t="s">
        <v>129</v>
      </c>
    </row>
    <row r="3" spans="1:2" ht="101.5" x14ac:dyDescent="0.35">
      <c r="A3" s="64">
        <v>2</v>
      </c>
      <c r="B3" s="59" t="s">
        <v>150</v>
      </c>
    </row>
    <row r="4" spans="1:2" ht="43.5" x14ac:dyDescent="0.35">
      <c r="A4" s="64">
        <v>3</v>
      </c>
      <c r="B4" s="59" t="s">
        <v>151</v>
      </c>
    </row>
    <row r="5" spans="1:2" ht="58" x14ac:dyDescent="0.35">
      <c r="A5" s="64">
        <v>4</v>
      </c>
      <c r="B5" s="59" t="s">
        <v>152</v>
      </c>
    </row>
    <row r="7" spans="1:2" x14ac:dyDescent="0.35">
      <c r="A7" s="58" t="s">
        <v>130</v>
      </c>
    </row>
    <row r="8" spans="1:2" x14ac:dyDescent="0.35">
      <c r="A8" s="60" t="s">
        <v>131</v>
      </c>
      <c r="B8" t="s">
        <v>153</v>
      </c>
    </row>
    <row r="9" spans="1:2" x14ac:dyDescent="0.35">
      <c r="A9" s="61" t="s">
        <v>132</v>
      </c>
      <c r="B9" t="s">
        <v>154</v>
      </c>
    </row>
    <row r="10" spans="1:2" x14ac:dyDescent="0.35">
      <c r="A10" s="62" t="s">
        <v>133</v>
      </c>
      <c r="B10" t="s">
        <v>155</v>
      </c>
    </row>
    <row r="11" spans="1:2" x14ac:dyDescent="0.35">
      <c r="A11" s="63" t="s">
        <v>134</v>
      </c>
      <c r="B11" t="s">
        <v>156</v>
      </c>
    </row>
    <row r="14" spans="1:2" x14ac:dyDescent="0.35">
      <c r="A14" s="58" t="s">
        <v>135</v>
      </c>
    </row>
    <row r="15" spans="1:2" x14ac:dyDescent="0.35">
      <c r="A15" s="58" t="s">
        <v>136</v>
      </c>
      <c r="B15" t="s">
        <v>137</v>
      </c>
    </row>
    <row r="16" spans="1:2" x14ac:dyDescent="0.35">
      <c r="A16" s="58" t="s">
        <v>138</v>
      </c>
      <c r="B16" t="s">
        <v>139</v>
      </c>
    </row>
    <row r="17" spans="1:2" x14ac:dyDescent="0.35">
      <c r="A17" s="58" t="s">
        <v>140</v>
      </c>
      <c r="B17" t="s">
        <v>141</v>
      </c>
    </row>
    <row r="18" spans="1:2" x14ac:dyDescent="0.35">
      <c r="A18" s="58" t="s">
        <v>142</v>
      </c>
      <c r="B18" t="s">
        <v>143</v>
      </c>
    </row>
    <row r="19" spans="1:2" x14ac:dyDescent="0.35">
      <c r="A19" s="58" t="s">
        <v>144</v>
      </c>
      <c r="B19" t="s">
        <v>145</v>
      </c>
    </row>
    <row r="20" spans="1:2" x14ac:dyDescent="0.35">
      <c r="A20" s="58" t="s">
        <v>146</v>
      </c>
      <c r="B20" t="s">
        <v>147</v>
      </c>
    </row>
    <row r="21" spans="1:2" x14ac:dyDescent="0.35">
      <c r="A21" s="58" t="s">
        <v>148</v>
      </c>
      <c r="B21" t="s">
        <v>149</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2FA9-4285-4125-95F4-A4A4DC28A580}">
  <dimension ref="A1:D7"/>
  <sheetViews>
    <sheetView zoomScale="115" workbookViewId="0">
      <selection activeCell="D22" sqref="D22"/>
    </sheetView>
  </sheetViews>
  <sheetFormatPr defaultRowHeight="14.5" x14ac:dyDescent="0.35"/>
  <cols>
    <col min="1" max="1" width="3.453125" bestFit="1" customWidth="1"/>
    <col min="2" max="2" width="25.36328125" bestFit="1" customWidth="1"/>
    <col min="3" max="3" width="8.36328125" bestFit="1" customWidth="1"/>
    <col min="4" max="4" width="72.54296875" bestFit="1" customWidth="1"/>
  </cols>
  <sheetData>
    <row r="1" spans="1:4" x14ac:dyDescent="0.35">
      <c r="A1" s="68" t="s">
        <v>8</v>
      </c>
      <c r="B1" s="68"/>
      <c r="C1" s="68"/>
      <c r="D1" s="68"/>
    </row>
    <row r="2" spans="1:4" ht="56" x14ac:dyDescent="0.35">
      <c r="A2" s="11" t="s">
        <v>9</v>
      </c>
      <c r="B2" s="11" t="s">
        <v>10</v>
      </c>
      <c r="C2" s="11" t="s">
        <v>11</v>
      </c>
      <c r="D2" s="11" t="s">
        <v>12</v>
      </c>
    </row>
    <row r="3" spans="1:4" x14ac:dyDescent="0.35">
      <c r="A3" s="2">
        <v>1</v>
      </c>
      <c r="B3" s="12" t="s">
        <v>13</v>
      </c>
      <c r="C3" s="13">
        <v>500000</v>
      </c>
      <c r="D3" s="2" t="s">
        <v>20</v>
      </c>
    </row>
    <row r="4" spans="1:4" x14ac:dyDescent="0.35">
      <c r="A4" s="2">
        <v>2</v>
      </c>
      <c r="B4" s="12" t="s">
        <v>14</v>
      </c>
      <c r="C4" s="13">
        <v>0</v>
      </c>
      <c r="D4" s="2" t="s">
        <v>21</v>
      </c>
    </row>
    <row r="5" spans="1:4" x14ac:dyDescent="0.35">
      <c r="A5" s="2">
        <v>3</v>
      </c>
      <c r="B5" s="12" t="s">
        <v>15</v>
      </c>
      <c r="C5" s="13">
        <v>100000</v>
      </c>
      <c r="D5" s="2" t="s">
        <v>16</v>
      </c>
    </row>
    <row r="6" spans="1:4" x14ac:dyDescent="0.35">
      <c r="A6" s="2">
        <v>4</v>
      </c>
      <c r="B6" s="12" t="s">
        <v>17</v>
      </c>
      <c r="C6" s="13"/>
      <c r="D6" s="2" t="s">
        <v>18</v>
      </c>
    </row>
    <row r="7" spans="1:4" x14ac:dyDescent="0.35">
      <c r="A7" s="69" t="s">
        <v>19</v>
      </c>
      <c r="B7" s="70"/>
      <c r="C7" s="14">
        <f>SUM(C3:C6)</f>
        <v>600000</v>
      </c>
      <c r="D7" s="2"/>
    </row>
  </sheetData>
  <mergeCells count="2">
    <mergeCell ref="A1:D1"/>
    <mergeCell ref="A7:B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EBE1E-D280-428B-8B79-AB9AB150400B}">
  <dimension ref="A1:O8"/>
  <sheetViews>
    <sheetView zoomScale="109" workbookViewId="0">
      <selection activeCell="F2" sqref="F2"/>
    </sheetView>
  </sheetViews>
  <sheetFormatPr defaultRowHeight="14.5" x14ac:dyDescent="0.35"/>
  <cols>
    <col min="1" max="1" width="3.453125" bestFit="1" customWidth="1"/>
    <col min="2" max="2" width="8.90625" bestFit="1" customWidth="1"/>
    <col min="3" max="3" width="17.81640625" bestFit="1" customWidth="1"/>
    <col min="4" max="4" width="7.36328125" bestFit="1" customWidth="1"/>
    <col min="5" max="5" width="9.453125" customWidth="1"/>
    <col min="6" max="6" width="7.36328125" bestFit="1" customWidth="1"/>
    <col min="7" max="7" width="8.08984375" bestFit="1" customWidth="1"/>
    <col min="9" max="9" width="51.81640625" bestFit="1" customWidth="1"/>
  </cols>
  <sheetData>
    <row r="1" spans="1:15" x14ac:dyDescent="0.35">
      <c r="A1" s="68" t="s">
        <v>22</v>
      </c>
      <c r="B1" s="68"/>
      <c r="C1" s="68"/>
      <c r="D1" s="68"/>
      <c r="E1" s="68"/>
      <c r="F1" s="68"/>
      <c r="G1" s="68"/>
      <c r="I1" s="71" t="s">
        <v>36</v>
      </c>
      <c r="J1" s="71"/>
      <c r="K1" s="16"/>
      <c r="L1" s="16"/>
      <c r="M1" s="16"/>
      <c r="N1" s="16"/>
      <c r="O1" s="16"/>
    </row>
    <row r="2" spans="1:15" ht="70" x14ac:dyDescent="0.35">
      <c r="A2" s="11" t="s">
        <v>9</v>
      </c>
      <c r="B2" s="11" t="s">
        <v>23</v>
      </c>
      <c r="C2" s="11" t="s">
        <v>24</v>
      </c>
      <c r="D2" s="11" t="s">
        <v>25</v>
      </c>
      <c r="E2" s="11" t="s">
        <v>26</v>
      </c>
      <c r="F2" s="11" t="s">
        <v>27</v>
      </c>
      <c r="G2" s="11" t="s">
        <v>28</v>
      </c>
      <c r="I2" s="11" t="s">
        <v>23</v>
      </c>
      <c r="J2" s="11" t="s">
        <v>37</v>
      </c>
    </row>
    <row r="3" spans="1:15" x14ac:dyDescent="0.35">
      <c r="A3" s="2">
        <v>1</v>
      </c>
      <c r="B3" s="12" t="s">
        <v>29</v>
      </c>
      <c r="C3" s="12" t="s">
        <v>30</v>
      </c>
      <c r="D3" s="12" t="s">
        <v>31</v>
      </c>
      <c r="E3" s="12">
        <v>0.2</v>
      </c>
      <c r="F3" s="13">
        <v>15000</v>
      </c>
      <c r="G3" s="15">
        <f t="shared" ref="G3:G8" si="0">E3*F3</f>
        <v>3000</v>
      </c>
      <c r="I3" s="12" t="s">
        <v>29</v>
      </c>
      <c r="J3" s="15">
        <f>SUMIF($B$3:$B$8,I3,$G$3:$G$8)</f>
        <v>6000</v>
      </c>
    </row>
    <row r="4" spans="1:15" x14ac:dyDescent="0.35">
      <c r="A4" s="2">
        <v>2</v>
      </c>
      <c r="B4" s="12" t="s">
        <v>29</v>
      </c>
      <c r="C4" s="12" t="s">
        <v>32</v>
      </c>
      <c r="D4" s="12" t="s">
        <v>33</v>
      </c>
      <c r="E4" s="12">
        <v>1</v>
      </c>
      <c r="F4" s="13">
        <v>2000</v>
      </c>
      <c r="G4" s="15">
        <f t="shared" si="0"/>
        <v>2000</v>
      </c>
      <c r="I4" s="12" t="s">
        <v>35</v>
      </c>
      <c r="J4" s="15">
        <f>SUMIF($B$3:$B$8,I4,$G$3:$G$8)</f>
        <v>6450</v>
      </c>
    </row>
    <row r="5" spans="1:15" x14ac:dyDescent="0.35">
      <c r="A5" s="2">
        <v>3</v>
      </c>
      <c r="B5" s="12" t="s">
        <v>29</v>
      </c>
      <c r="C5" s="12" t="s">
        <v>34</v>
      </c>
      <c r="D5" s="12" t="s">
        <v>33</v>
      </c>
      <c r="E5" s="12">
        <v>1</v>
      </c>
      <c r="F5" s="13">
        <v>1000</v>
      </c>
      <c r="G5" s="15">
        <f t="shared" si="0"/>
        <v>1000</v>
      </c>
    </row>
    <row r="6" spans="1:15" x14ac:dyDescent="0.35">
      <c r="A6" s="2">
        <v>4</v>
      </c>
      <c r="B6" s="12" t="s">
        <v>35</v>
      </c>
      <c r="C6" s="12" t="s">
        <v>30</v>
      </c>
      <c r="D6" s="12" t="s">
        <v>31</v>
      </c>
      <c r="E6" s="12">
        <v>0.15</v>
      </c>
      <c r="F6" s="13">
        <v>15000</v>
      </c>
      <c r="G6" s="15">
        <f t="shared" si="0"/>
        <v>2250</v>
      </c>
    </row>
    <row r="7" spans="1:15" x14ac:dyDescent="0.35">
      <c r="A7" s="2">
        <v>5</v>
      </c>
      <c r="B7" s="12" t="s">
        <v>35</v>
      </c>
      <c r="C7" s="12" t="s">
        <v>32</v>
      </c>
      <c r="D7" s="12" t="s">
        <v>33</v>
      </c>
      <c r="E7" s="12">
        <v>2</v>
      </c>
      <c r="F7" s="13">
        <v>1500</v>
      </c>
      <c r="G7" s="15">
        <f t="shared" si="0"/>
        <v>3000</v>
      </c>
    </row>
    <row r="8" spans="1:15" x14ac:dyDescent="0.35">
      <c r="A8" s="2">
        <v>6</v>
      </c>
      <c r="B8" s="12" t="s">
        <v>35</v>
      </c>
      <c r="C8" s="12" t="s">
        <v>34</v>
      </c>
      <c r="D8" s="12" t="s">
        <v>33</v>
      </c>
      <c r="E8" s="12">
        <v>1</v>
      </c>
      <c r="F8" s="13">
        <v>1200</v>
      </c>
      <c r="G8" s="15">
        <f t="shared" si="0"/>
        <v>1200</v>
      </c>
    </row>
  </sheetData>
  <mergeCells count="2">
    <mergeCell ref="A1:G1"/>
    <mergeCell ref="I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EA4F2-C965-4004-BD1E-8D8DE23F88F6}">
  <dimension ref="A1:E7"/>
  <sheetViews>
    <sheetView zoomScale="157" workbookViewId="0">
      <selection activeCell="F21" sqref="F21"/>
    </sheetView>
  </sheetViews>
  <sheetFormatPr defaultRowHeight="14.5" x14ac:dyDescent="0.35"/>
  <cols>
    <col min="1" max="1" width="3.453125" bestFit="1" customWidth="1"/>
    <col min="2" max="2" width="33.54296875" bestFit="1" customWidth="1"/>
    <col min="3" max="3" width="8.36328125" bestFit="1" customWidth="1"/>
    <col min="4" max="4" width="8.6328125" bestFit="1" customWidth="1"/>
  </cols>
  <sheetData>
    <row r="1" spans="1:5" x14ac:dyDescent="0.35">
      <c r="A1" s="68" t="s">
        <v>38</v>
      </c>
      <c r="B1" s="68"/>
      <c r="C1" s="68"/>
      <c r="D1" s="68"/>
      <c r="E1" s="68"/>
    </row>
    <row r="2" spans="1:5" ht="70" x14ac:dyDescent="0.35">
      <c r="A2" s="11" t="s">
        <v>9</v>
      </c>
      <c r="B2" s="11" t="s">
        <v>10</v>
      </c>
      <c r="C2" s="11" t="s">
        <v>11</v>
      </c>
      <c r="D2" s="11" t="s">
        <v>39</v>
      </c>
      <c r="E2" s="11" t="s">
        <v>40</v>
      </c>
    </row>
    <row r="3" spans="1:5" x14ac:dyDescent="0.35">
      <c r="A3" s="2">
        <v>1</v>
      </c>
      <c r="B3" s="12" t="s">
        <v>41</v>
      </c>
      <c r="C3" s="13">
        <v>300000</v>
      </c>
      <c r="D3" s="17">
        <v>0.7</v>
      </c>
      <c r="E3" s="15">
        <f>C3*D3</f>
        <v>210000</v>
      </c>
    </row>
    <row r="4" spans="1:5" x14ac:dyDescent="0.35">
      <c r="A4" s="2">
        <v>2</v>
      </c>
      <c r="B4" s="12" t="s">
        <v>42</v>
      </c>
      <c r="C4" s="13">
        <v>100000</v>
      </c>
      <c r="D4" s="17">
        <v>0.5</v>
      </c>
      <c r="E4" s="15">
        <f>C4*D4</f>
        <v>50000</v>
      </c>
    </row>
    <row r="5" spans="1:5" x14ac:dyDescent="0.35">
      <c r="A5" s="2">
        <v>3</v>
      </c>
      <c r="B5" s="12" t="s">
        <v>43</v>
      </c>
      <c r="C5" s="13">
        <v>200000</v>
      </c>
      <c r="D5" s="17">
        <v>1</v>
      </c>
      <c r="E5" s="15">
        <f>C5*D5</f>
        <v>200000</v>
      </c>
    </row>
    <row r="6" spans="1:5" x14ac:dyDescent="0.35">
      <c r="A6" s="2">
        <v>4</v>
      </c>
      <c r="B6" s="12" t="s">
        <v>44</v>
      </c>
      <c r="C6" s="13">
        <v>150000</v>
      </c>
      <c r="D6" s="17">
        <v>1</v>
      </c>
      <c r="E6" s="15">
        <f>C6*D6</f>
        <v>150000</v>
      </c>
    </row>
    <row r="7" spans="1:5" x14ac:dyDescent="0.35">
      <c r="A7" s="69" t="s">
        <v>45</v>
      </c>
      <c r="B7" s="72"/>
      <c r="C7" s="72"/>
      <c r="D7" s="70"/>
      <c r="E7" s="14">
        <f>SUM(E3:E6)</f>
        <v>610000</v>
      </c>
    </row>
  </sheetData>
  <mergeCells count="2">
    <mergeCell ref="A1:E1"/>
    <mergeCell ref="A7:D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4E9FA-D273-4667-8001-2A31C0962F64}">
  <dimension ref="A1:V6"/>
  <sheetViews>
    <sheetView tabSelected="1" workbookViewId="0">
      <selection activeCell="P4" sqref="P4"/>
    </sheetView>
  </sheetViews>
  <sheetFormatPr defaultRowHeight="14.5" x14ac:dyDescent="0.35"/>
  <cols>
    <col min="1" max="1" width="3.453125" bestFit="1" customWidth="1"/>
    <col min="2" max="2" width="21.26953125" bestFit="1" customWidth="1"/>
    <col min="3" max="3" width="7.36328125" bestFit="1" customWidth="1"/>
    <col min="4" max="4" width="33.90625" customWidth="1"/>
    <col min="5" max="5" width="22.08984375" customWidth="1"/>
    <col min="6" max="6" width="13.7265625" customWidth="1"/>
    <col min="7" max="7" width="15.81640625" customWidth="1"/>
    <col min="8" max="8" width="13.7265625" customWidth="1"/>
    <col min="9" max="9" width="15.6328125" customWidth="1"/>
    <col min="10" max="10" width="11.7265625" customWidth="1"/>
    <col min="11" max="11" width="10" customWidth="1"/>
    <col min="12" max="12" width="18.26953125" customWidth="1"/>
    <col min="13" max="13" width="11.36328125" bestFit="1" customWidth="1"/>
    <col min="14" max="14" width="13.54296875" customWidth="1"/>
    <col min="15" max="15" width="13.7265625" customWidth="1"/>
    <col min="16" max="16" width="6.6328125" bestFit="1" customWidth="1"/>
    <col min="17" max="18" width="8.26953125" bestFit="1" customWidth="1"/>
    <col min="19" max="19" width="15.453125" customWidth="1"/>
    <col min="20" max="20" width="6.6328125" bestFit="1" customWidth="1"/>
    <col min="21" max="21" width="7.54296875" bestFit="1" customWidth="1"/>
    <col min="22" max="22" width="13.36328125" bestFit="1" customWidth="1"/>
  </cols>
  <sheetData>
    <row r="1" spans="1:22" x14ac:dyDescent="0.35">
      <c r="A1" s="73" t="s">
        <v>66</v>
      </c>
      <c r="B1" s="73"/>
      <c r="C1" s="73"/>
      <c r="D1" s="73"/>
      <c r="E1" s="73"/>
      <c r="F1" s="73"/>
      <c r="G1" s="73"/>
      <c r="H1" s="73"/>
      <c r="I1" s="73"/>
      <c r="J1" s="73"/>
      <c r="K1" s="73"/>
      <c r="L1" s="73"/>
      <c r="M1" s="73"/>
      <c r="N1" s="73"/>
      <c r="O1" s="73"/>
      <c r="P1" s="73"/>
      <c r="Q1" s="73"/>
      <c r="R1" s="73"/>
      <c r="S1" s="73"/>
      <c r="T1" s="73"/>
      <c r="U1" s="73"/>
      <c r="V1" s="73"/>
    </row>
    <row r="2" spans="1:22" x14ac:dyDescent="0.35">
      <c r="A2" s="73" t="s">
        <v>67</v>
      </c>
      <c r="B2" s="73"/>
      <c r="C2" s="73"/>
      <c r="D2" s="73"/>
      <c r="E2" s="73"/>
      <c r="F2" s="73"/>
      <c r="G2" s="73"/>
      <c r="H2" s="73"/>
      <c r="I2" s="73"/>
      <c r="J2" s="73"/>
      <c r="K2" s="73"/>
      <c r="L2" s="73" t="s">
        <v>68</v>
      </c>
      <c r="M2" s="73"/>
      <c r="N2" s="22"/>
      <c r="O2" s="22"/>
      <c r="P2" s="22"/>
      <c r="Q2" s="22"/>
      <c r="R2" s="22"/>
      <c r="S2" s="73" t="s">
        <v>69</v>
      </c>
      <c r="T2" s="73"/>
      <c r="U2" s="73"/>
      <c r="V2" s="73"/>
    </row>
    <row r="3" spans="1:22" ht="56" x14ac:dyDescent="0.35">
      <c r="A3" s="1" t="s">
        <v>9</v>
      </c>
      <c r="B3" s="1" t="s">
        <v>70</v>
      </c>
      <c r="C3" s="1" t="s">
        <v>25</v>
      </c>
      <c r="D3" s="11" t="s">
        <v>71</v>
      </c>
      <c r="E3" s="1" t="s">
        <v>72</v>
      </c>
      <c r="F3" s="1" t="s">
        <v>73</v>
      </c>
      <c r="G3" s="1" t="s">
        <v>74</v>
      </c>
      <c r="H3" s="1" t="s">
        <v>75</v>
      </c>
      <c r="I3" s="1" t="s">
        <v>76</v>
      </c>
      <c r="J3" s="1" t="s">
        <v>77</v>
      </c>
      <c r="K3" s="1" t="s">
        <v>78</v>
      </c>
      <c r="L3" s="1" t="s">
        <v>79</v>
      </c>
      <c r="M3" s="1" t="s">
        <v>80</v>
      </c>
      <c r="N3" s="1" t="s">
        <v>81</v>
      </c>
      <c r="O3" s="1" t="s">
        <v>82</v>
      </c>
      <c r="P3" s="1" t="s">
        <v>83</v>
      </c>
      <c r="Q3" s="1" t="s">
        <v>84</v>
      </c>
      <c r="R3" s="1" t="s">
        <v>85</v>
      </c>
      <c r="S3" s="1" t="s">
        <v>86</v>
      </c>
      <c r="T3" s="1" t="s">
        <v>87</v>
      </c>
      <c r="U3" s="1" t="s">
        <v>88</v>
      </c>
      <c r="V3" s="1" t="s">
        <v>85</v>
      </c>
    </row>
    <row r="4" spans="1:22" x14ac:dyDescent="0.35">
      <c r="A4" s="2">
        <v>1</v>
      </c>
      <c r="B4" s="3" t="s">
        <v>89</v>
      </c>
      <c r="C4" s="3" t="s">
        <v>31</v>
      </c>
      <c r="D4" s="3">
        <v>60</v>
      </c>
      <c r="E4" s="3">
        <v>100</v>
      </c>
      <c r="F4" s="3">
        <v>5</v>
      </c>
      <c r="G4" s="3">
        <v>10</v>
      </c>
      <c r="H4" s="23">
        <v>50000</v>
      </c>
      <c r="I4" s="23">
        <v>500</v>
      </c>
      <c r="J4" s="23">
        <v>15000</v>
      </c>
      <c r="K4" s="3">
        <v>40</v>
      </c>
      <c r="L4" s="24">
        <f>D4/[1]Asumsi!$C$4</f>
        <v>2.3076923076923075</v>
      </c>
      <c r="M4" s="24">
        <f>E4/[1]Asumsi!$C$4</f>
        <v>3.8461538461538463</v>
      </c>
      <c r="N4" s="25">
        <f>D4*[1]Asumsi!$C$5</f>
        <v>720</v>
      </c>
      <c r="O4" s="25">
        <f>ROUND(SQRT(2*N4*H4/(I4*[1]Asumsi!$C$5)),0)</f>
        <v>110</v>
      </c>
      <c r="P4" s="25">
        <f>ROUND((M4-L4)*G4,0)</f>
        <v>15</v>
      </c>
      <c r="Q4" s="25">
        <f>ROUND(L4*F4+P4,0)</f>
        <v>27</v>
      </c>
      <c r="R4" s="26" t="str">
        <f>IF(K4&lt;=Q4,"Segera Pesan","Aman")</f>
        <v>Aman</v>
      </c>
      <c r="S4" s="25">
        <f>D4</f>
        <v>60</v>
      </c>
      <c r="T4" s="27">
        <f>P4</f>
        <v>15</v>
      </c>
      <c r="U4" s="25">
        <f>MAX(S4+T4-K4,0)</f>
        <v>35</v>
      </c>
      <c r="V4" s="26" t="str">
        <f>IF(K4&lt;S4+T4,"Segera Pesan","Aman")</f>
        <v>Segera Pesan</v>
      </c>
    </row>
    <row r="5" spans="1:22" x14ac:dyDescent="0.35">
      <c r="A5" s="2">
        <v>2</v>
      </c>
      <c r="B5" s="3" t="s">
        <v>90</v>
      </c>
      <c r="C5" s="3" t="s">
        <v>33</v>
      </c>
      <c r="D5" s="3">
        <v>200</v>
      </c>
      <c r="E5" s="3">
        <v>350</v>
      </c>
      <c r="F5" s="3">
        <v>3</v>
      </c>
      <c r="G5" s="3">
        <v>7</v>
      </c>
      <c r="H5" s="23">
        <v>30000</v>
      </c>
      <c r="I5" s="23">
        <v>150</v>
      </c>
      <c r="J5" s="23">
        <v>2000</v>
      </c>
      <c r="K5" s="3">
        <v>150</v>
      </c>
      <c r="L5" s="24">
        <f>D5/[1]Asumsi!$C$4</f>
        <v>7.6923076923076925</v>
      </c>
      <c r="M5" s="24">
        <f>E5/[1]Asumsi!$C$4</f>
        <v>13.461538461538462</v>
      </c>
      <c r="N5" s="25">
        <f>D5*[1]Asumsi!$C$5</f>
        <v>2400</v>
      </c>
      <c r="O5" s="25">
        <f>ROUND(SQRT(2*N5*H5/(I5*[1]Asumsi!$C$5)),0)</f>
        <v>283</v>
      </c>
      <c r="P5" s="25">
        <f>ROUND((M5-L5)*G5,0)</f>
        <v>40</v>
      </c>
      <c r="Q5" s="25">
        <f>ROUND(L5*F5+P5,0)</f>
        <v>63</v>
      </c>
      <c r="R5" s="26" t="str">
        <f>IF(K5&lt;=Q5,"Segera Pesan","Aman")</f>
        <v>Aman</v>
      </c>
      <c r="S5" s="25">
        <f>D5</f>
        <v>200</v>
      </c>
      <c r="T5" s="27">
        <f>P5</f>
        <v>40</v>
      </c>
      <c r="U5" s="25">
        <f>MAX(S5+T5-K5,0)</f>
        <v>90</v>
      </c>
      <c r="V5" s="26" t="str">
        <f>IF(K5&lt;S5+T5,"Segera Pesan","Aman")</f>
        <v>Segera Pesan</v>
      </c>
    </row>
    <row r="6" spans="1:22" x14ac:dyDescent="0.35">
      <c r="A6" s="2">
        <v>3</v>
      </c>
      <c r="B6" s="3" t="s">
        <v>91</v>
      </c>
      <c r="C6" s="3" t="s">
        <v>33</v>
      </c>
      <c r="D6" s="3">
        <v>150</v>
      </c>
      <c r="E6" s="3">
        <v>260</v>
      </c>
      <c r="F6" s="3">
        <v>4</v>
      </c>
      <c r="G6" s="3">
        <v>8</v>
      </c>
      <c r="H6" s="23">
        <v>25000</v>
      </c>
      <c r="I6" s="23">
        <v>200</v>
      </c>
      <c r="J6" s="23">
        <v>1000</v>
      </c>
      <c r="K6" s="3">
        <v>80</v>
      </c>
      <c r="L6" s="24">
        <f>D6/[1]Asumsi!$C$4</f>
        <v>5.7692307692307692</v>
      </c>
      <c r="M6" s="24">
        <f>E6/[1]Asumsi!$C$4</f>
        <v>10</v>
      </c>
      <c r="N6" s="25">
        <f>D6*[1]Asumsi!$C$5</f>
        <v>1800</v>
      </c>
      <c r="O6" s="25">
        <f>ROUND(SQRT(2*N6*H6/(I6*[1]Asumsi!$C$5)),0)</f>
        <v>194</v>
      </c>
      <c r="P6" s="25">
        <f>ROUND((M6-L6)*G6,0)</f>
        <v>34</v>
      </c>
      <c r="Q6" s="25">
        <f>ROUND(L6*F6+P6,0)</f>
        <v>57</v>
      </c>
      <c r="R6" s="26" t="str">
        <f>IF(K6&lt;=Q6,"Segera Pesan","Aman")</f>
        <v>Aman</v>
      </c>
      <c r="S6" s="25">
        <f>D6</f>
        <v>150</v>
      </c>
      <c r="T6" s="27">
        <f>P6</f>
        <v>34</v>
      </c>
      <c r="U6" s="25">
        <f>MAX(S6+T6-K6,0)</f>
        <v>104</v>
      </c>
      <c r="V6" s="26" t="str">
        <f>IF(K6&lt;S6+T6,"Segera Pesan","Aman")</f>
        <v>Segera Pesan</v>
      </c>
    </row>
  </sheetData>
  <mergeCells count="4">
    <mergeCell ref="A1:V1"/>
    <mergeCell ref="A2:K2"/>
    <mergeCell ref="L2:M2"/>
    <mergeCell ref="S2:V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3181E-C4C6-4C18-8D2C-D8A8124DC4B6}">
  <dimension ref="A1:Q39"/>
  <sheetViews>
    <sheetView zoomScale="102" workbookViewId="0">
      <selection activeCell="A22" sqref="A22"/>
    </sheetView>
  </sheetViews>
  <sheetFormatPr defaultRowHeight="14.5" x14ac:dyDescent="0.35"/>
  <cols>
    <col min="1" max="1" width="30.1796875" style="39" bestFit="1" customWidth="1"/>
    <col min="2" max="2" width="12.6328125" style="39" bestFit="1" customWidth="1"/>
    <col min="3" max="3" width="18.453125" style="39" bestFit="1" customWidth="1"/>
    <col min="4" max="14" width="12.6328125" style="39" bestFit="1" customWidth="1"/>
    <col min="15" max="15" width="8.7265625" style="39"/>
    <col min="16" max="16" width="29.54296875" style="39" bestFit="1" customWidth="1"/>
    <col min="17" max="17" width="12.1796875" style="39" bestFit="1" customWidth="1"/>
    <col min="18" max="16384" width="8.7265625" style="39"/>
  </cols>
  <sheetData>
    <row r="1" spans="1:17" x14ac:dyDescent="0.35">
      <c r="A1" s="37" t="s">
        <v>157</v>
      </c>
      <c r="B1" s="41">
        <v>1</v>
      </c>
      <c r="C1" s="41">
        <v>2</v>
      </c>
      <c r="D1" s="41">
        <v>3</v>
      </c>
      <c r="E1" s="41">
        <v>4</v>
      </c>
      <c r="F1" s="41">
        <v>5</v>
      </c>
      <c r="G1" s="41">
        <v>6</v>
      </c>
      <c r="H1" s="41">
        <v>7</v>
      </c>
      <c r="I1" s="41">
        <v>8</v>
      </c>
      <c r="J1" s="41">
        <v>9</v>
      </c>
      <c r="K1" s="41">
        <v>10</v>
      </c>
      <c r="L1" s="41">
        <v>11</v>
      </c>
      <c r="M1" s="41">
        <v>12</v>
      </c>
      <c r="N1" s="37"/>
      <c r="O1" s="38"/>
      <c r="P1" s="38"/>
      <c r="Q1" s="38"/>
    </row>
    <row r="2" spans="1:17" x14ac:dyDescent="0.35">
      <c r="A2" s="37" t="s">
        <v>158</v>
      </c>
      <c r="B2" s="41">
        <v>150</v>
      </c>
      <c r="C2" s="41">
        <v>200</v>
      </c>
      <c r="D2" s="41">
        <v>100</v>
      </c>
      <c r="E2" s="41">
        <v>250</v>
      </c>
      <c r="F2" s="41">
        <v>200</v>
      </c>
      <c r="G2" s="41">
        <v>300</v>
      </c>
      <c r="H2" s="41">
        <v>200</v>
      </c>
      <c r="I2" s="41">
        <v>150</v>
      </c>
      <c r="J2" s="41">
        <v>350</v>
      </c>
      <c r="K2" s="41">
        <v>200</v>
      </c>
      <c r="L2" s="41">
        <v>100</v>
      </c>
      <c r="M2" s="41">
        <v>400</v>
      </c>
      <c r="N2" s="37"/>
      <c r="O2" s="38"/>
      <c r="P2" s="38"/>
      <c r="Q2" s="38"/>
    </row>
    <row r="3" spans="1:17" x14ac:dyDescent="0.35">
      <c r="A3" s="37"/>
      <c r="B3" s="37"/>
      <c r="C3" s="37"/>
      <c r="D3" s="37"/>
      <c r="E3" s="37"/>
      <c r="F3" s="37"/>
      <c r="G3" s="37"/>
      <c r="H3" s="37"/>
      <c r="I3" s="37"/>
      <c r="J3" s="37"/>
      <c r="K3" s="37"/>
      <c r="L3" s="37"/>
      <c r="M3" s="37"/>
      <c r="N3" s="37"/>
      <c r="O3" s="38"/>
      <c r="P3" s="38"/>
      <c r="Q3" s="38"/>
    </row>
    <row r="4" spans="1:17" x14ac:dyDescent="0.35">
      <c r="A4" s="49" t="s">
        <v>157</v>
      </c>
      <c r="B4" s="41">
        <v>0</v>
      </c>
      <c r="C4" s="41">
        <v>1</v>
      </c>
      <c r="D4" s="41">
        <v>2</v>
      </c>
      <c r="E4" s="41">
        <v>3</v>
      </c>
      <c r="F4" s="41">
        <v>4</v>
      </c>
      <c r="G4" s="41">
        <v>5</v>
      </c>
      <c r="H4" s="41">
        <v>6</v>
      </c>
      <c r="I4" s="41">
        <v>7</v>
      </c>
      <c r="J4" s="41">
        <v>8</v>
      </c>
      <c r="K4" s="41">
        <v>9</v>
      </c>
      <c r="L4" s="41">
        <v>10</v>
      </c>
      <c r="M4" s="41">
        <v>11</v>
      </c>
      <c r="N4" s="41">
        <v>12</v>
      </c>
      <c r="O4" s="38"/>
      <c r="P4" s="38" t="s">
        <v>46</v>
      </c>
      <c r="Q4" s="40">
        <f>SUM(B5:N5)</f>
        <v>2600</v>
      </c>
    </row>
    <row r="5" spans="1:17" x14ac:dyDescent="0.35">
      <c r="A5" s="49" t="s">
        <v>159</v>
      </c>
      <c r="B5" s="37"/>
      <c r="C5" s="41">
        <f>B2</f>
        <v>150</v>
      </c>
      <c r="D5" s="41">
        <f t="shared" ref="D5:N5" si="0">C2</f>
        <v>200</v>
      </c>
      <c r="E5" s="41">
        <f t="shared" si="0"/>
        <v>100</v>
      </c>
      <c r="F5" s="41">
        <f t="shared" si="0"/>
        <v>250</v>
      </c>
      <c r="G5" s="41">
        <f t="shared" si="0"/>
        <v>200</v>
      </c>
      <c r="H5" s="41">
        <f t="shared" si="0"/>
        <v>300</v>
      </c>
      <c r="I5" s="41">
        <f t="shared" si="0"/>
        <v>200</v>
      </c>
      <c r="J5" s="41">
        <f t="shared" si="0"/>
        <v>150</v>
      </c>
      <c r="K5" s="41">
        <f t="shared" si="0"/>
        <v>350</v>
      </c>
      <c r="L5" s="41">
        <f t="shared" si="0"/>
        <v>200</v>
      </c>
      <c r="M5" s="41">
        <f t="shared" si="0"/>
        <v>100</v>
      </c>
      <c r="N5" s="41">
        <f t="shared" si="0"/>
        <v>400</v>
      </c>
      <c r="O5" s="38"/>
      <c r="P5" s="38" t="s">
        <v>47</v>
      </c>
      <c r="Q5" s="40">
        <f>ROUNDUP(AVERAGE(C5:N5),0)</f>
        <v>217</v>
      </c>
    </row>
    <row r="6" spans="1:17" x14ac:dyDescent="0.35">
      <c r="A6" s="49" t="s">
        <v>160</v>
      </c>
      <c r="B6" s="37"/>
      <c r="C6" s="37"/>
      <c r="D6" s="37"/>
      <c r="E6" s="37"/>
      <c r="F6" s="37"/>
      <c r="G6" s="37"/>
      <c r="H6" s="37"/>
      <c r="I6" s="37"/>
      <c r="J6" s="37"/>
      <c r="K6" s="37"/>
      <c r="L6" s="37"/>
      <c r="M6" s="37"/>
      <c r="N6" s="37"/>
      <c r="O6" s="38"/>
      <c r="P6" s="38" t="s">
        <v>48</v>
      </c>
      <c r="Q6" s="40">
        <f>Q5*52</f>
        <v>11284</v>
      </c>
    </row>
    <row r="7" spans="1:17" x14ac:dyDescent="0.35">
      <c r="A7" s="49" t="s">
        <v>161</v>
      </c>
      <c r="B7" s="41">
        <v>100</v>
      </c>
      <c r="C7" s="41">
        <f>C9-C8</f>
        <v>74</v>
      </c>
      <c r="D7" s="41">
        <f t="shared" ref="D7:N7" si="1">D9-D8</f>
        <v>60</v>
      </c>
      <c r="E7" s="41">
        <f t="shared" si="1"/>
        <v>53</v>
      </c>
      <c r="F7" s="41">
        <f t="shared" si="1"/>
        <v>51</v>
      </c>
      <c r="G7" s="41">
        <f t="shared" si="1"/>
        <v>68</v>
      </c>
      <c r="H7" s="41">
        <f t="shared" si="1"/>
        <v>47</v>
      </c>
      <c r="I7" s="41">
        <f t="shared" si="1"/>
        <v>64</v>
      </c>
      <c r="J7" s="41">
        <f t="shared" si="1"/>
        <v>69</v>
      </c>
      <c r="K7" s="41">
        <f t="shared" si="1"/>
        <v>60</v>
      </c>
      <c r="L7" s="41">
        <f t="shared" si="1"/>
        <v>46</v>
      </c>
      <c r="M7" s="41">
        <f t="shared" si="1"/>
        <v>70</v>
      </c>
      <c r="N7" s="41">
        <f t="shared" si="1"/>
        <v>73</v>
      </c>
      <c r="O7" s="38"/>
      <c r="P7" s="38" t="s">
        <v>49</v>
      </c>
      <c r="Q7" s="42">
        <v>25</v>
      </c>
    </row>
    <row r="8" spans="1:17" x14ac:dyDescent="0.35">
      <c r="A8" s="50" t="s">
        <v>162</v>
      </c>
      <c r="B8" s="43"/>
      <c r="C8" s="41">
        <f>C5-B7</f>
        <v>50</v>
      </c>
      <c r="D8" s="41">
        <f t="shared" ref="D8:N8" si="2">D5-C7</f>
        <v>126</v>
      </c>
      <c r="E8" s="41">
        <f t="shared" si="2"/>
        <v>40</v>
      </c>
      <c r="F8" s="41">
        <f t="shared" si="2"/>
        <v>197</v>
      </c>
      <c r="G8" s="41">
        <f t="shared" si="2"/>
        <v>149</v>
      </c>
      <c r="H8" s="41">
        <f t="shared" si="2"/>
        <v>232</v>
      </c>
      <c r="I8" s="41">
        <f t="shared" si="2"/>
        <v>153</v>
      </c>
      <c r="J8" s="41">
        <f t="shared" si="2"/>
        <v>86</v>
      </c>
      <c r="K8" s="41">
        <f t="shared" si="2"/>
        <v>281</v>
      </c>
      <c r="L8" s="41">
        <f t="shared" si="2"/>
        <v>140</v>
      </c>
      <c r="M8" s="41">
        <f t="shared" si="2"/>
        <v>54</v>
      </c>
      <c r="N8" s="41">
        <f t="shared" si="2"/>
        <v>330</v>
      </c>
      <c r="O8" s="38"/>
      <c r="P8" s="38" t="s">
        <v>50</v>
      </c>
      <c r="Q8" s="42">
        <f>B14*52</f>
        <v>624</v>
      </c>
    </row>
    <row r="9" spans="1:17" x14ac:dyDescent="0.35">
      <c r="A9" s="49" t="s">
        <v>163</v>
      </c>
      <c r="B9" s="37"/>
      <c r="C9" s="18">
        <f>ROUNDUP((C8+$B$13)/$Q$9,0)*$Q$9</f>
        <v>124</v>
      </c>
      <c r="D9" s="18">
        <f t="shared" ref="D9:N9" si="3">ROUNDUP((D8+$B$13)/$Q$9,0)*$Q$9</f>
        <v>186</v>
      </c>
      <c r="E9" s="18">
        <f t="shared" si="3"/>
        <v>93</v>
      </c>
      <c r="F9" s="18">
        <f t="shared" si="3"/>
        <v>248</v>
      </c>
      <c r="G9" s="18">
        <f t="shared" si="3"/>
        <v>217</v>
      </c>
      <c r="H9" s="18">
        <f t="shared" si="3"/>
        <v>279</v>
      </c>
      <c r="I9" s="18">
        <f t="shared" si="3"/>
        <v>217</v>
      </c>
      <c r="J9" s="18">
        <f t="shared" si="3"/>
        <v>155</v>
      </c>
      <c r="K9" s="18">
        <f t="shared" si="3"/>
        <v>341</v>
      </c>
      <c r="L9" s="18">
        <f t="shared" si="3"/>
        <v>186</v>
      </c>
      <c r="M9" s="18">
        <f t="shared" si="3"/>
        <v>124</v>
      </c>
      <c r="N9" s="18">
        <f t="shared" si="3"/>
        <v>403</v>
      </c>
      <c r="O9" s="38"/>
      <c r="P9" s="38" t="s">
        <v>51</v>
      </c>
      <c r="Q9">
        <f>ROUNDUP(SQRT(2*Q6*Q7/Q8),0)</f>
        <v>31</v>
      </c>
    </row>
    <row r="10" spans="1:17" x14ac:dyDescent="0.35">
      <c r="A10" s="51" t="s">
        <v>164</v>
      </c>
      <c r="B10" s="44">
        <f>E9</f>
        <v>93</v>
      </c>
      <c r="C10" s="41">
        <v>248</v>
      </c>
      <c r="D10" s="41">
        <v>186</v>
      </c>
      <c r="E10" s="41">
        <v>310</v>
      </c>
      <c r="F10" s="41">
        <v>186</v>
      </c>
      <c r="G10" s="41">
        <v>155</v>
      </c>
      <c r="H10" s="41">
        <v>372</v>
      </c>
      <c r="I10" s="41">
        <v>186</v>
      </c>
      <c r="J10" s="41">
        <v>93</v>
      </c>
      <c r="K10" s="41">
        <v>403</v>
      </c>
      <c r="L10" s="37"/>
      <c r="M10" s="37"/>
      <c r="N10" s="37"/>
      <c r="O10" s="38"/>
      <c r="P10" s="45" t="s">
        <v>121</v>
      </c>
      <c r="Q10" s="46">
        <v>3</v>
      </c>
    </row>
    <row r="11" spans="1:17" x14ac:dyDescent="0.35">
      <c r="A11" s="52" t="s">
        <v>85</v>
      </c>
      <c r="B11" s="46" t="str">
        <f>IF(B7&lt;$Q$12,"Segera Pesan")</f>
        <v>Segera Pesan</v>
      </c>
      <c r="C11" s="46" t="str">
        <f t="shared" ref="C11:N11" si="4">IF(C7&lt;$Q$12,"Segera Pesan")</f>
        <v>Segera Pesan</v>
      </c>
      <c r="D11" s="46" t="str">
        <f t="shared" si="4"/>
        <v>Segera Pesan</v>
      </c>
      <c r="E11" s="46" t="str">
        <f t="shared" si="4"/>
        <v>Segera Pesan</v>
      </c>
      <c r="F11" s="46" t="str">
        <f t="shared" si="4"/>
        <v>Segera Pesan</v>
      </c>
      <c r="G11" s="46" t="str">
        <f t="shared" si="4"/>
        <v>Segera Pesan</v>
      </c>
      <c r="H11" s="46" t="str">
        <f t="shared" si="4"/>
        <v>Segera Pesan</v>
      </c>
      <c r="I11" s="46" t="str">
        <f t="shared" si="4"/>
        <v>Segera Pesan</v>
      </c>
      <c r="J11" s="46" t="str">
        <f t="shared" si="4"/>
        <v>Segera Pesan</v>
      </c>
      <c r="K11" s="46" t="str">
        <f t="shared" si="4"/>
        <v>Segera Pesan</v>
      </c>
      <c r="L11" s="46" t="str">
        <f t="shared" si="4"/>
        <v>Segera Pesan</v>
      </c>
      <c r="M11" s="46" t="str">
        <f t="shared" si="4"/>
        <v>Segera Pesan</v>
      </c>
      <c r="N11" s="46" t="str">
        <f t="shared" si="4"/>
        <v>Segera Pesan</v>
      </c>
      <c r="O11" s="38"/>
      <c r="P11" s="45" t="s">
        <v>78</v>
      </c>
      <c r="Q11" s="46">
        <v>50</v>
      </c>
    </row>
    <row r="12" spans="1:17" x14ac:dyDescent="0.35">
      <c r="A12" s="38" t="s">
        <v>165</v>
      </c>
      <c r="B12" s="38">
        <v>3</v>
      </c>
      <c r="C12" s="38" t="s">
        <v>167</v>
      </c>
      <c r="D12" s="38"/>
      <c r="E12" s="38"/>
      <c r="F12" s="38"/>
      <c r="G12" s="38"/>
      <c r="H12" s="38"/>
      <c r="I12" s="38"/>
      <c r="J12" s="38"/>
      <c r="K12" s="38"/>
      <c r="L12" s="38"/>
      <c r="M12" s="38"/>
      <c r="N12" s="38"/>
      <c r="O12" s="38"/>
      <c r="P12" s="45" t="s">
        <v>122</v>
      </c>
      <c r="Q12" s="46">
        <f>Q5*B12+B13</f>
        <v>696</v>
      </c>
    </row>
    <row r="13" spans="1:17" x14ac:dyDescent="0.35">
      <c r="A13" s="38" t="s">
        <v>166</v>
      </c>
      <c r="B13" s="40">
        <v>45</v>
      </c>
      <c r="C13" s="38" t="s">
        <v>168</v>
      </c>
      <c r="D13" s="38"/>
      <c r="E13" s="38"/>
      <c r="F13" s="38"/>
      <c r="G13" s="38"/>
      <c r="H13" s="38"/>
      <c r="I13" s="38"/>
      <c r="J13" s="38"/>
      <c r="K13" s="38"/>
      <c r="L13" s="38"/>
      <c r="M13" s="38"/>
      <c r="N13" s="38"/>
      <c r="O13" s="38"/>
      <c r="P13" s="45"/>
      <c r="Q13" s="47"/>
    </row>
    <row r="14" spans="1:17" x14ac:dyDescent="0.35">
      <c r="A14" s="38" t="s">
        <v>169</v>
      </c>
      <c r="B14" s="42">
        <v>12</v>
      </c>
      <c r="C14" s="38" t="s">
        <v>170</v>
      </c>
      <c r="D14" s="38"/>
      <c r="E14" s="38"/>
      <c r="F14" s="38"/>
      <c r="G14" s="38"/>
      <c r="H14" s="38"/>
      <c r="I14" s="38"/>
      <c r="J14" s="38"/>
      <c r="K14" s="38"/>
      <c r="L14" s="38"/>
      <c r="M14" s="38"/>
      <c r="N14" s="38"/>
      <c r="O14" s="38"/>
      <c r="P14" s="38"/>
      <c r="Q14" s="38"/>
    </row>
    <row r="15" spans="1:17" x14ac:dyDescent="0.35">
      <c r="A15" s="38" t="s">
        <v>171</v>
      </c>
      <c r="B15" s="42">
        <v>25</v>
      </c>
      <c r="C15" s="38" t="s">
        <v>172</v>
      </c>
      <c r="D15" s="38"/>
      <c r="E15" s="38"/>
      <c r="F15" s="38"/>
      <c r="G15" s="38"/>
      <c r="H15" s="38"/>
      <c r="I15" s="38"/>
      <c r="J15" s="38"/>
      <c r="K15" s="38"/>
      <c r="L15" s="38"/>
      <c r="M15" s="38"/>
      <c r="N15" s="38"/>
      <c r="O15" s="38"/>
      <c r="P15" s="38"/>
      <c r="Q15" s="38"/>
    </row>
    <row r="16" spans="1:17" x14ac:dyDescent="0.35">
      <c r="A16" s="38"/>
      <c r="B16" s="38"/>
      <c r="C16" s="38"/>
      <c r="D16" s="38"/>
      <c r="E16" s="38"/>
      <c r="F16" s="38"/>
      <c r="G16" s="38"/>
      <c r="H16" s="38"/>
      <c r="I16" s="38"/>
      <c r="J16" s="38"/>
      <c r="K16" s="38"/>
      <c r="L16" s="38"/>
      <c r="M16" s="38"/>
      <c r="N16" s="38"/>
      <c r="O16" s="38"/>
      <c r="P16" s="38"/>
      <c r="Q16" s="38"/>
    </row>
    <row r="17" spans="1:17" x14ac:dyDescent="0.35">
      <c r="A17" s="38" t="s">
        <v>173</v>
      </c>
      <c r="B17" s="42">
        <f>B14*SUM(C7:N7)</f>
        <v>8820</v>
      </c>
      <c r="C17" s="38"/>
      <c r="D17" s="38"/>
      <c r="E17" s="38"/>
      <c r="F17" s="38"/>
      <c r="G17" s="38"/>
      <c r="H17" s="38"/>
      <c r="I17" s="38"/>
      <c r="J17" s="38"/>
      <c r="K17" s="38"/>
      <c r="L17" s="38"/>
      <c r="M17" s="38"/>
      <c r="N17" s="38"/>
      <c r="O17" s="38"/>
      <c r="P17" s="38"/>
      <c r="Q17" s="38"/>
    </row>
    <row r="18" spans="1:17" x14ac:dyDescent="0.35">
      <c r="A18" s="38" t="s">
        <v>174</v>
      </c>
      <c r="B18" s="42">
        <f>B15*(COUNT(B9:N9)-B12)</f>
        <v>225</v>
      </c>
      <c r="C18" s="38"/>
      <c r="D18" s="38"/>
      <c r="E18" s="38"/>
      <c r="F18" s="38"/>
      <c r="G18" s="38"/>
      <c r="H18" s="38"/>
      <c r="I18" s="38"/>
      <c r="J18" s="38"/>
      <c r="K18" s="38"/>
      <c r="L18" s="38"/>
      <c r="M18" s="38"/>
      <c r="N18" s="38"/>
      <c r="O18" s="38"/>
      <c r="P18" s="38"/>
      <c r="Q18" s="38"/>
    </row>
    <row r="19" spans="1:17" x14ac:dyDescent="0.35">
      <c r="A19" s="38" t="s">
        <v>175</v>
      </c>
      <c r="B19" s="42">
        <f>B17+B18</f>
        <v>9045</v>
      </c>
      <c r="C19" s="38"/>
      <c r="D19" s="38"/>
      <c r="E19" s="38"/>
      <c r="F19" s="38"/>
      <c r="G19" s="38"/>
      <c r="H19" s="38"/>
      <c r="I19" s="38"/>
      <c r="J19" s="38"/>
      <c r="K19" s="38"/>
      <c r="L19" s="38"/>
      <c r="M19" s="38"/>
      <c r="N19" s="38"/>
      <c r="O19" s="38"/>
      <c r="P19" s="38"/>
      <c r="Q19" s="38"/>
    </row>
    <row r="20" spans="1:17" x14ac:dyDescent="0.35">
      <c r="A20" s="38"/>
      <c r="B20" s="38"/>
      <c r="C20" s="38"/>
      <c r="D20" s="38"/>
      <c r="E20" s="38"/>
      <c r="F20" s="38"/>
      <c r="G20" s="38"/>
      <c r="H20" s="38"/>
      <c r="I20" s="38"/>
      <c r="J20" s="38"/>
      <c r="K20" s="38"/>
      <c r="L20" s="38"/>
      <c r="M20" s="38"/>
      <c r="N20" s="38"/>
      <c r="O20" s="38"/>
      <c r="P20" s="38"/>
      <c r="Q20" s="38"/>
    </row>
    <row r="21" spans="1:17" x14ac:dyDescent="0.35">
      <c r="A21" s="37" t="s">
        <v>157</v>
      </c>
      <c r="B21" s="53">
        <v>1</v>
      </c>
      <c r="C21" s="53">
        <v>2</v>
      </c>
      <c r="D21" s="53">
        <v>3</v>
      </c>
      <c r="E21" s="53">
        <v>4</v>
      </c>
      <c r="F21" s="53">
        <v>5</v>
      </c>
      <c r="G21" s="53">
        <v>6</v>
      </c>
      <c r="H21" s="53">
        <v>7</v>
      </c>
      <c r="I21" s="53">
        <v>8</v>
      </c>
      <c r="J21" s="53">
        <v>9</v>
      </c>
      <c r="K21" s="53">
        <v>10</v>
      </c>
      <c r="L21" s="53">
        <v>11</v>
      </c>
      <c r="M21" s="53">
        <v>12</v>
      </c>
      <c r="N21" s="38"/>
      <c r="O21" s="38"/>
      <c r="P21" s="38"/>
      <c r="Q21" s="38"/>
    </row>
    <row r="22" spans="1:17" x14ac:dyDescent="0.35">
      <c r="A22" s="37" t="s">
        <v>158</v>
      </c>
      <c r="B22" s="53">
        <v>150</v>
      </c>
      <c r="C22" s="53">
        <v>200</v>
      </c>
      <c r="D22" s="53">
        <v>100</v>
      </c>
      <c r="E22" s="53">
        <v>250</v>
      </c>
      <c r="F22" s="53">
        <v>200</v>
      </c>
      <c r="G22" s="53">
        <v>300</v>
      </c>
      <c r="H22" s="53">
        <v>200</v>
      </c>
      <c r="I22" s="53">
        <v>150</v>
      </c>
      <c r="J22" s="53">
        <v>350</v>
      </c>
      <c r="K22" s="53">
        <v>200</v>
      </c>
      <c r="L22" s="53">
        <v>100</v>
      </c>
      <c r="M22" s="53">
        <v>400</v>
      </c>
      <c r="N22" s="38"/>
      <c r="O22" s="38"/>
      <c r="P22" s="38"/>
      <c r="Q22" s="38"/>
    </row>
    <row r="23" spans="1:17" x14ac:dyDescent="0.35">
      <c r="A23" s="37"/>
      <c r="B23" s="38"/>
      <c r="C23" s="38"/>
      <c r="D23" s="38"/>
      <c r="E23" s="38"/>
      <c r="F23" s="38"/>
      <c r="G23" s="38"/>
      <c r="H23" s="38"/>
      <c r="I23" s="38"/>
      <c r="J23" s="38"/>
      <c r="K23" s="38"/>
      <c r="L23" s="38"/>
      <c r="M23" s="38"/>
      <c r="N23" s="38"/>
      <c r="O23" s="38"/>
      <c r="P23" s="38"/>
      <c r="Q23" s="38"/>
    </row>
    <row r="24" spans="1:17" x14ac:dyDescent="0.35">
      <c r="A24" s="49" t="s">
        <v>157</v>
      </c>
      <c r="B24" s="41">
        <v>0</v>
      </c>
      <c r="C24" s="41">
        <v>1</v>
      </c>
      <c r="D24" s="41">
        <v>2</v>
      </c>
      <c r="E24" s="41">
        <v>3</v>
      </c>
      <c r="F24" s="41">
        <v>4</v>
      </c>
      <c r="G24" s="41">
        <v>5</v>
      </c>
      <c r="H24" s="41">
        <v>6</v>
      </c>
      <c r="I24" s="41">
        <v>7</v>
      </c>
      <c r="J24" s="41">
        <v>8</v>
      </c>
      <c r="K24" s="41">
        <v>9</v>
      </c>
      <c r="L24" s="41">
        <v>10</v>
      </c>
      <c r="M24" s="41">
        <v>11</v>
      </c>
      <c r="N24" s="41">
        <v>12</v>
      </c>
      <c r="O24" s="38"/>
      <c r="P24" s="45"/>
      <c r="Q24" s="48"/>
    </row>
    <row r="25" spans="1:17" x14ac:dyDescent="0.35">
      <c r="A25" s="49" t="s">
        <v>159</v>
      </c>
      <c r="B25" s="37"/>
      <c r="C25" s="41">
        <f>B22</f>
        <v>150</v>
      </c>
      <c r="D25" s="41">
        <f t="shared" ref="D25:N25" si="5">C22</f>
        <v>200</v>
      </c>
      <c r="E25" s="41">
        <f t="shared" si="5"/>
        <v>100</v>
      </c>
      <c r="F25" s="41">
        <f t="shared" si="5"/>
        <v>250</v>
      </c>
      <c r="G25" s="41">
        <f t="shared" si="5"/>
        <v>200</v>
      </c>
      <c r="H25" s="41">
        <f t="shared" si="5"/>
        <v>300</v>
      </c>
      <c r="I25" s="41">
        <f t="shared" si="5"/>
        <v>200</v>
      </c>
      <c r="J25" s="41">
        <f t="shared" si="5"/>
        <v>150</v>
      </c>
      <c r="K25" s="41">
        <f t="shared" si="5"/>
        <v>350</v>
      </c>
      <c r="L25" s="41">
        <f t="shared" si="5"/>
        <v>200</v>
      </c>
      <c r="M25" s="41">
        <f t="shared" si="5"/>
        <v>100</v>
      </c>
      <c r="N25" s="41">
        <f t="shared" si="5"/>
        <v>400</v>
      </c>
      <c r="O25" s="38"/>
      <c r="P25" s="45"/>
      <c r="Q25" s="46"/>
    </row>
    <row r="26" spans="1:17" x14ac:dyDescent="0.35">
      <c r="A26" s="49" t="s">
        <v>160</v>
      </c>
      <c r="B26" s="37"/>
      <c r="C26" s="37"/>
      <c r="D26" s="37"/>
      <c r="E26" s="37"/>
      <c r="F26" s="37"/>
      <c r="G26" s="37"/>
      <c r="H26" s="37"/>
      <c r="I26" s="37"/>
      <c r="J26" s="37"/>
      <c r="K26" s="37"/>
      <c r="L26" s="37"/>
      <c r="M26" s="37"/>
      <c r="N26" s="37"/>
      <c r="O26" s="38"/>
      <c r="P26" s="45"/>
      <c r="Q26" s="46"/>
    </row>
    <row r="27" spans="1:17" ht="15.5" x14ac:dyDescent="0.35">
      <c r="A27" s="49" t="s">
        <v>161</v>
      </c>
      <c r="B27" s="41">
        <v>50</v>
      </c>
      <c r="C27" s="19">
        <f>B27+B26+C28-C25+$B$33</f>
        <v>45</v>
      </c>
      <c r="D27" s="19">
        <f t="shared" ref="D27:N27" si="6">C27+C26+D28-D25+$B$33</f>
        <v>45</v>
      </c>
      <c r="E27" s="19">
        <f t="shared" si="6"/>
        <v>45</v>
      </c>
      <c r="F27" s="19">
        <f t="shared" si="6"/>
        <v>45</v>
      </c>
      <c r="G27" s="19">
        <f t="shared" si="6"/>
        <v>45</v>
      </c>
      <c r="H27" s="19">
        <f t="shared" si="6"/>
        <v>45</v>
      </c>
      <c r="I27" s="19">
        <f t="shared" si="6"/>
        <v>45</v>
      </c>
      <c r="J27" s="19">
        <f t="shared" si="6"/>
        <v>45</v>
      </c>
      <c r="K27" s="19">
        <f t="shared" si="6"/>
        <v>45</v>
      </c>
      <c r="L27" s="19">
        <f t="shared" si="6"/>
        <v>45</v>
      </c>
      <c r="M27" s="19">
        <f t="shared" si="6"/>
        <v>45</v>
      </c>
      <c r="N27" s="19">
        <f t="shared" si="6"/>
        <v>45</v>
      </c>
      <c r="O27" s="38"/>
      <c r="P27" s="45"/>
      <c r="Q27" s="48"/>
    </row>
    <row r="28" spans="1:17" x14ac:dyDescent="0.35">
      <c r="A28" s="50" t="s">
        <v>162</v>
      </c>
      <c r="B28" s="37"/>
      <c r="C28" s="41">
        <f>C25-B27</f>
        <v>100</v>
      </c>
      <c r="D28" s="41">
        <f t="shared" ref="D28:N28" si="7">D25-C27</f>
        <v>155</v>
      </c>
      <c r="E28" s="41">
        <f t="shared" si="7"/>
        <v>55</v>
      </c>
      <c r="F28" s="41">
        <f t="shared" si="7"/>
        <v>205</v>
      </c>
      <c r="G28" s="41">
        <f t="shared" si="7"/>
        <v>155</v>
      </c>
      <c r="H28" s="41">
        <f t="shared" si="7"/>
        <v>255</v>
      </c>
      <c r="I28" s="41">
        <f t="shared" si="7"/>
        <v>155</v>
      </c>
      <c r="J28" s="41">
        <f t="shared" si="7"/>
        <v>105</v>
      </c>
      <c r="K28" s="41">
        <f t="shared" si="7"/>
        <v>305</v>
      </c>
      <c r="L28" s="41">
        <f t="shared" si="7"/>
        <v>155</v>
      </c>
      <c r="M28" s="41">
        <f t="shared" si="7"/>
        <v>55</v>
      </c>
      <c r="N28" s="41">
        <f t="shared" si="7"/>
        <v>355</v>
      </c>
      <c r="O28" s="38"/>
      <c r="P28" s="45"/>
      <c r="Q28" s="47"/>
    </row>
    <row r="29" spans="1:17" x14ac:dyDescent="0.35">
      <c r="A29" s="49" t="s">
        <v>163</v>
      </c>
      <c r="B29" s="37"/>
      <c r="C29" s="41">
        <f>C28+C27</f>
        <v>145</v>
      </c>
      <c r="D29" s="41">
        <f t="shared" ref="D29:N29" si="8">D28+D27</f>
        <v>200</v>
      </c>
      <c r="E29" s="41">
        <f t="shared" si="8"/>
        <v>100</v>
      </c>
      <c r="F29" s="41">
        <f t="shared" si="8"/>
        <v>250</v>
      </c>
      <c r="G29" s="41">
        <f t="shared" si="8"/>
        <v>200</v>
      </c>
      <c r="H29" s="41">
        <f t="shared" si="8"/>
        <v>300</v>
      </c>
      <c r="I29" s="41">
        <f t="shared" si="8"/>
        <v>200</v>
      </c>
      <c r="J29" s="41">
        <f t="shared" si="8"/>
        <v>150</v>
      </c>
      <c r="K29" s="41">
        <f t="shared" si="8"/>
        <v>350</v>
      </c>
      <c r="L29" s="41">
        <f t="shared" si="8"/>
        <v>200</v>
      </c>
      <c r="M29" s="41">
        <f t="shared" si="8"/>
        <v>100</v>
      </c>
      <c r="N29" s="41">
        <f t="shared" si="8"/>
        <v>400</v>
      </c>
      <c r="O29" s="38"/>
      <c r="P29" s="38"/>
      <c r="Q29" s="38"/>
    </row>
    <row r="30" spans="1:17" x14ac:dyDescent="0.35">
      <c r="A30" s="51" t="s">
        <v>164</v>
      </c>
      <c r="B30" s="41">
        <f>E29</f>
        <v>100</v>
      </c>
      <c r="C30" s="41">
        <f t="shared" ref="C30:N30" si="9">F29</f>
        <v>250</v>
      </c>
      <c r="D30" s="41">
        <f t="shared" si="9"/>
        <v>200</v>
      </c>
      <c r="E30" s="41">
        <f t="shared" si="9"/>
        <v>300</v>
      </c>
      <c r="F30" s="41">
        <f t="shared" si="9"/>
        <v>200</v>
      </c>
      <c r="G30" s="41">
        <f t="shared" si="9"/>
        <v>150</v>
      </c>
      <c r="H30" s="41">
        <f t="shared" si="9"/>
        <v>350</v>
      </c>
      <c r="I30" s="41">
        <f t="shared" si="9"/>
        <v>200</v>
      </c>
      <c r="J30" s="41">
        <f t="shared" si="9"/>
        <v>100</v>
      </c>
      <c r="K30" s="41">
        <f t="shared" si="9"/>
        <v>400</v>
      </c>
      <c r="L30" s="41">
        <f t="shared" si="9"/>
        <v>0</v>
      </c>
      <c r="M30" s="41">
        <f t="shared" si="9"/>
        <v>0</v>
      </c>
      <c r="N30" s="41">
        <f t="shared" si="9"/>
        <v>0</v>
      </c>
      <c r="O30" s="38"/>
      <c r="P30" s="38"/>
      <c r="Q30" s="38"/>
    </row>
    <row r="31" spans="1:17" x14ac:dyDescent="0.35">
      <c r="A31" s="52" t="s">
        <v>85</v>
      </c>
      <c r="B31" s="46" t="b">
        <f>IF(B28&gt;0,"Segera Pesan")</f>
        <v>0</v>
      </c>
      <c r="C31" s="46" t="str">
        <f t="shared" ref="C31:N31" si="10">IF(C28&gt;0,"Segera Pesan")</f>
        <v>Segera Pesan</v>
      </c>
      <c r="D31" s="46" t="str">
        <f t="shared" si="10"/>
        <v>Segera Pesan</v>
      </c>
      <c r="E31" s="46" t="str">
        <f t="shared" si="10"/>
        <v>Segera Pesan</v>
      </c>
      <c r="F31" s="46" t="str">
        <f t="shared" si="10"/>
        <v>Segera Pesan</v>
      </c>
      <c r="G31" s="46" t="str">
        <f t="shared" si="10"/>
        <v>Segera Pesan</v>
      </c>
      <c r="H31" s="46" t="str">
        <f t="shared" si="10"/>
        <v>Segera Pesan</v>
      </c>
      <c r="I31" s="46" t="str">
        <f t="shared" si="10"/>
        <v>Segera Pesan</v>
      </c>
      <c r="J31" s="46" t="str">
        <f t="shared" si="10"/>
        <v>Segera Pesan</v>
      </c>
      <c r="K31" s="46" t="str">
        <f t="shared" si="10"/>
        <v>Segera Pesan</v>
      </c>
      <c r="L31" s="46" t="str">
        <f t="shared" si="10"/>
        <v>Segera Pesan</v>
      </c>
      <c r="M31" s="46" t="str">
        <f t="shared" si="10"/>
        <v>Segera Pesan</v>
      </c>
      <c r="N31" s="46" t="str">
        <f t="shared" si="10"/>
        <v>Segera Pesan</v>
      </c>
      <c r="O31" s="38"/>
      <c r="P31" s="38"/>
      <c r="Q31" s="38"/>
    </row>
    <row r="32" spans="1:17" x14ac:dyDescent="0.35">
      <c r="A32" s="38" t="s">
        <v>165</v>
      </c>
      <c r="B32" s="38">
        <v>3</v>
      </c>
      <c r="C32" s="38" t="s">
        <v>123</v>
      </c>
      <c r="D32" s="38"/>
      <c r="E32" s="38"/>
      <c r="F32" s="38"/>
      <c r="G32" s="38"/>
      <c r="H32" s="38"/>
      <c r="I32" s="38"/>
      <c r="J32" s="38"/>
      <c r="K32" s="38"/>
      <c r="L32" s="38"/>
      <c r="M32" s="38"/>
      <c r="N32" s="38"/>
      <c r="O32" s="38"/>
      <c r="P32" s="38"/>
      <c r="Q32" s="38"/>
    </row>
    <row r="33" spans="1:17" x14ac:dyDescent="0.35">
      <c r="A33" s="38" t="s">
        <v>166</v>
      </c>
      <c r="B33" s="40">
        <v>45</v>
      </c>
      <c r="C33" s="38" t="s">
        <v>120</v>
      </c>
      <c r="D33" s="38"/>
      <c r="E33" s="38"/>
      <c r="F33" s="38"/>
      <c r="G33" s="38"/>
      <c r="H33" s="38"/>
      <c r="I33" s="38"/>
      <c r="J33" s="38"/>
      <c r="K33" s="38"/>
      <c r="L33" s="38"/>
      <c r="M33" s="38"/>
      <c r="N33" s="38"/>
      <c r="O33" s="38"/>
      <c r="P33" s="38"/>
      <c r="Q33" s="38"/>
    </row>
    <row r="34" spans="1:17" x14ac:dyDescent="0.35">
      <c r="A34" s="38" t="s">
        <v>169</v>
      </c>
      <c r="B34" s="42">
        <v>12</v>
      </c>
      <c r="C34" s="38" t="s">
        <v>52</v>
      </c>
      <c r="D34" s="38"/>
      <c r="E34" s="38"/>
      <c r="F34" s="38"/>
      <c r="G34" s="38"/>
      <c r="H34" s="38"/>
      <c r="I34" s="38"/>
      <c r="J34" s="38"/>
      <c r="K34" s="38"/>
      <c r="L34" s="38"/>
      <c r="M34" s="38"/>
      <c r="N34" s="38"/>
      <c r="O34" s="38"/>
      <c r="P34" s="38"/>
      <c r="Q34" s="38"/>
    </row>
    <row r="35" spans="1:17" x14ac:dyDescent="0.35">
      <c r="A35" s="38" t="s">
        <v>171</v>
      </c>
      <c r="B35" s="42">
        <v>25</v>
      </c>
      <c r="C35" s="38" t="s">
        <v>53</v>
      </c>
      <c r="D35" s="38"/>
      <c r="E35" s="38"/>
      <c r="F35" s="38"/>
      <c r="G35" s="38"/>
      <c r="H35" s="38"/>
      <c r="I35" s="38"/>
      <c r="J35" s="38"/>
      <c r="K35" s="38"/>
      <c r="L35" s="38"/>
      <c r="M35" s="38"/>
      <c r="N35" s="38"/>
      <c r="O35" s="38"/>
      <c r="P35" s="38"/>
      <c r="Q35" s="38"/>
    </row>
    <row r="36" spans="1:17" x14ac:dyDescent="0.35">
      <c r="A36" s="38"/>
      <c r="B36" s="38"/>
      <c r="C36" s="38"/>
      <c r="D36" s="38"/>
      <c r="E36" s="38"/>
      <c r="F36" s="38"/>
      <c r="G36" s="38"/>
      <c r="H36" s="38"/>
      <c r="I36" s="38"/>
      <c r="J36" s="38"/>
      <c r="K36" s="38"/>
      <c r="L36" s="38"/>
      <c r="M36" s="38"/>
      <c r="N36" s="38"/>
      <c r="O36" s="38"/>
      <c r="P36" s="38"/>
      <c r="Q36" s="38"/>
    </row>
    <row r="37" spans="1:17" x14ac:dyDescent="0.35">
      <c r="A37" s="38" t="s">
        <v>173</v>
      </c>
      <c r="B37" s="42">
        <f>B34*SUM(C27:N27)</f>
        <v>6480</v>
      </c>
      <c r="C37" s="38"/>
      <c r="D37" s="38"/>
      <c r="E37" s="38"/>
      <c r="F37" s="38"/>
      <c r="G37" s="38"/>
      <c r="H37" s="38"/>
      <c r="I37" s="38"/>
      <c r="J37" s="38"/>
      <c r="K37" s="38"/>
      <c r="L37" s="38"/>
      <c r="M37" s="38"/>
      <c r="N37" s="38"/>
      <c r="O37" s="38"/>
      <c r="P37" s="38"/>
      <c r="Q37" s="38"/>
    </row>
    <row r="38" spans="1:17" x14ac:dyDescent="0.35">
      <c r="A38" s="38" t="s">
        <v>174</v>
      </c>
      <c r="B38" s="42">
        <f>B35*(COUNT(B29:N29)-B32)</f>
        <v>225</v>
      </c>
      <c r="C38" s="38"/>
      <c r="D38" s="38"/>
      <c r="E38" s="38"/>
      <c r="F38" s="38"/>
      <c r="G38" s="38"/>
      <c r="H38" s="38"/>
      <c r="I38" s="38"/>
      <c r="J38" s="38"/>
      <c r="K38" s="38"/>
      <c r="L38" s="38"/>
      <c r="M38" s="38"/>
      <c r="N38" s="38"/>
      <c r="O38" s="38"/>
      <c r="P38" s="38"/>
      <c r="Q38" s="38"/>
    </row>
    <row r="39" spans="1:17" x14ac:dyDescent="0.35">
      <c r="A39" s="38" t="s">
        <v>175</v>
      </c>
      <c r="B39" s="42">
        <f>B37+B38</f>
        <v>6705</v>
      </c>
      <c r="C39" s="38"/>
      <c r="D39" s="38"/>
      <c r="E39" s="38"/>
      <c r="F39" s="38"/>
      <c r="G39" s="38"/>
      <c r="H39" s="38"/>
      <c r="I39" s="38"/>
      <c r="J39" s="38"/>
      <c r="K39" s="38"/>
      <c r="L39" s="38"/>
      <c r="M39" s="38"/>
      <c r="N39" s="38"/>
      <c r="O39" s="38"/>
      <c r="P39" s="38"/>
      <c r="Q39" s="38"/>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933A4-31EA-4AC8-8FF5-41F83B9A054F}">
  <dimension ref="A1:N8"/>
  <sheetViews>
    <sheetView workbookViewId="0">
      <selection sqref="A1:N1"/>
    </sheetView>
  </sheetViews>
  <sheetFormatPr defaultRowHeight="14.5" x14ac:dyDescent="0.35"/>
  <cols>
    <col min="1" max="1" width="7.26953125" bestFit="1" customWidth="1"/>
    <col min="2" max="2" width="8.90625" bestFit="1" customWidth="1"/>
    <col min="3" max="3" width="7.26953125" bestFit="1" customWidth="1"/>
    <col min="4" max="4" width="8.1796875" bestFit="1" customWidth="1"/>
    <col min="5" max="5" width="9.7265625" bestFit="1" customWidth="1"/>
    <col min="6" max="6" width="15.81640625" customWidth="1"/>
    <col min="7" max="7" width="9.54296875" bestFit="1" customWidth="1"/>
    <col min="8" max="8" width="7.54296875" bestFit="1" customWidth="1"/>
    <col min="9" max="9" width="11.1796875" customWidth="1"/>
    <col min="12" max="13" width="9.54296875" bestFit="1" customWidth="1"/>
    <col min="14" max="14" width="7" bestFit="1" customWidth="1"/>
  </cols>
  <sheetData>
    <row r="1" spans="1:14" x14ac:dyDescent="0.35">
      <c r="A1" s="74" t="s">
        <v>92</v>
      </c>
      <c r="B1" s="74"/>
      <c r="C1" s="74"/>
      <c r="D1" s="74"/>
      <c r="E1" s="74"/>
      <c r="F1" s="74"/>
      <c r="G1" s="74"/>
      <c r="H1" s="74"/>
      <c r="I1" s="74"/>
      <c r="J1" s="74"/>
      <c r="K1" s="74"/>
      <c r="L1" s="74"/>
      <c r="M1" s="74"/>
      <c r="N1" s="74"/>
    </row>
    <row r="2" spans="1:14" ht="58" x14ac:dyDescent="0.35">
      <c r="A2" s="4" t="s">
        <v>93</v>
      </c>
      <c r="B2" s="4" t="s">
        <v>23</v>
      </c>
      <c r="C2" s="4" t="s">
        <v>94</v>
      </c>
      <c r="D2" s="4" t="s">
        <v>95</v>
      </c>
      <c r="E2" s="4" t="s">
        <v>96</v>
      </c>
      <c r="F2" s="4" t="s">
        <v>97</v>
      </c>
      <c r="G2" s="4" t="s">
        <v>98</v>
      </c>
      <c r="H2" s="4" t="s">
        <v>99</v>
      </c>
      <c r="I2" s="4" t="s">
        <v>100</v>
      </c>
      <c r="J2" s="4" t="s">
        <v>101</v>
      </c>
      <c r="K2" s="4" t="s">
        <v>102</v>
      </c>
      <c r="L2" s="4" t="s">
        <v>103</v>
      </c>
      <c r="M2" s="36" t="s">
        <v>104</v>
      </c>
      <c r="N2" s="4" t="s">
        <v>105</v>
      </c>
    </row>
    <row r="3" spans="1:14" x14ac:dyDescent="0.35">
      <c r="A3" s="30" t="s">
        <v>106</v>
      </c>
      <c r="B3" s="30" t="s">
        <v>29</v>
      </c>
      <c r="C3" s="30">
        <v>300</v>
      </c>
      <c r="D3" s="31">
        <v>25000</v>
      </c>
      <c r="E3" s="32">
        <f>C3*D3</f>
        <v>7500000</v>
      </c>
      <c r="F3" s="33">
        <f>VLOOKUP(B3,'Biaya Variabel'!$I$2:$J$4,2)</f>
        <v>6000</v>
      </c>
      <c r="G3" s="32">
        <f>C3*F3</f>
        <v>1800000</v>
      </c>
      <c r="H3" s="34">
        <v>0.6</v>
      </c>
      <c r="I3" s="33">
        <f>'Biaya Tetap'!$C$7*H3</f>
        <v>360000</v>
      </c>
      <c r="J3" s="34">
        <v>0.6</v>
      </c>
      <c r="K3" s="33">
        <f>'Biaya Tidak Langsung '!$E$7*J3</f>
        <v>366000</v>
      </c>
      <c r="L3" s="32">
        <f>G3+I3+K3</f>
        <v>2526000</v>
      </c>
      <c r="M3" s="32">
        <f>E3-L3</f>
        <v>4974000</v>
      </c>
      <c r="N3" s="35">
        <f>IF(E3=0,0,M3/E3)</f>
        <v>0.66320000000000001</v>
      </c>
    </row>
    <row r="4" spans="1:14" x14ac:dyDescent="0.35">
      <c r="A4" s="30" t="s">
        <v>106</v>
      </c>
      <c r="B4" s="30" t="s">
        <v>35</v>
      </c>
      <c r="C4" s="30">
        <v>250</v>
      </c>
      <c r="D4" s="31">
        <v>18000</v>
      </c>
      <c r="E4" s="32">
        <f>C4*D4</f>
        <v>4500000</v>
      </c>
      <c r="F4" s="33">
        <f>VLOOKUP(B4,'Biaya Variabel'!$I$2:$J$4,2)</f>
        <v>6450</v>
      </c>
      <c r="G4" s="32">
        <f>C4*F4</f>
        <v>1612500</v>
      </c>
      <c r="H4" s="34">
        <v>0.4</v>
      </c>
      <c r="I4" s="33">
        <f>'Biaya Tetap'!$C$7*H4</f>
        <v>240000</v>
      </c>
      <c r="J4" s="34">
        <v>0.4</v>
      </c>
      <c r="K4" s="33">
        <f>'Biaya Tidak Langsung '!$E$7*J4</f>
        <v>244000</v>
      </c>
      <c r="L4" s="32">
        <f>G4+I4+K4</f>
        <v>2096500</v>
      </c>
      <c r="M4" s="32">
        <f>E4-L4</f>
        <v>2403500</v>
      </c>
      <c r="N4" s="35">
        <f>IF(E4=0,0,M4/E4)</f>
        <v>0.53411111111111109</v>
      </c>
    </row>
    <row r="5" spans="1:14" x14ac:dyDescent="0.35">
      <c r="A5" s="30" t="s">
        <v>107</v>
      </c>
      <c r="B5" s="30" t="s">
        <v>29</v>
      </c>
      <c r="C5" s="30">
        <v>320</v>
      </c>
      <c r="D5" s="31">
        <v>25000</v>
      </c>
      <c r="E5" s="32">
        <f>C5*D5</f>
        <v>8000000</v>
      </c>
      <c r="F5" s="33">
        <f>VLOOKUP(B5,'Biaya Variabel'!$I$2:$J$4,2)</f>
        <v>6000</v>
      </c>
      <c r="G5" s="32">
        <f>C5*F5</f>
        <v>1920000</v>
      </c>
      <c r="H5" s="34">
        <v>0.55000000000000004</v>
      </c>
      <c r="I5" s="33">
        <f>'Biaya Tetap'!$C$7*H5</f>
        <v>330000</v>
      </c>
      <c r="J5" s="34">
        <v>0.55000000000000004</v>
      </c>
      <c r="K5" s="33">
        <f>'Biaya Tidak Langsung '!$E$7*J5</f>
        <v>335500</v>
      </c>
      <c r="L5" s="32">
        <f>G5+I5+K5</f>
        <v>2585500</v>
      </c>
      <c r="M5" s="32">
        <f>E5-L5</f>
        <v>5414500</v>
      </c>
      <c r="N5" s="35">
        <f>IF(E5=0,0,M5/E5)</f>
        <v>0.67681250000000004</v>
      </c>
    </row>
    <row r="6" spans="1:14" x14ac:dyDescent="0.35">
      <c r="A6" s="30" t="s">
        <v>107</v>
      </c>
      <c r="B6" s="30" t="s">
        <v>35</v>
      </c>
      <c r="C6" s="30">
        <v>260</v>
      </c>
      <c r="D6" s="31">
        <v>18000</v>
      </c>
      <c r="E6" s="32">
        <f>C6*D6</f>
        <v>4680000</v>
      </c>
      <c r="F6" s="33">
        <f>VLOOKUP(B6,'Biaya Variabel'!$I$2:$J$4,2)</f>
        <v>6450</v>
      </c>
      <c r="G6" s="32">
        <f>C6*F6</f>
        <v>1677000</v>
      </c>
      <c r="H6" s="34">
        <v>0.45</v>
      </c>
      <c r="I6" s="33">
        <f>'Biaya Tetap'!$C$7*H6</f>
        <v>270000</v>
      </c>
      <c r="J6" s="34">
        <v>0.45</v>
      </c>
      <c r="K6" s="33">
        <f>'Biaya Tidak Langsung '!$E$7*J6</f>
        <v>274500</v>
      </c>
      <c r="L6" s="32">
        <f>G6+I6+K6</f>
        <v>2221500</v>
      </c>
      <c r="M6" s="32">
        <f>E6-L6</f>
        <v>2458500</v>
      </c>
      <c r="N6" s="35">
        <f>IF(E6=0,0,M6/E6)</f>
        <v>0.52532051282051284</v>
      </c>
    </row>
    <row r="8" spans="1:14" x14ac:dyDescent="0.35">
      <c r="A8" s="54" t="s">
        <v>124</v>
      </c>
      <c r="E8" s="65">
        <f>SUM(E3:E6)</f>
        <v>24680000</v>
      </c>
      <c r="G8" s="65">
        <f>SUM(G3:G6)</f>
        <v>7009500</v>
      </c>
      <c r="I8" s="65">
        <f>SUM(I3:I6)</f>
        <v>1200000</v>
      </c>
      <c r="K8" s="65">
        <f>SUM(K3:K6)</f>
        <v>1220000</v>
      </c>
      <c r="L8" s="65">
        <f>SUM(L3:L6)</f>
        <v>9429500</v>
      </c>
      <c r="M8" s="65">
        <f>SUM(M3:M6)</f>
        <v>15250500</v>
      </c>
    </row>
  </sheetData>
  <mergeCells count="1">
    <mergeCell ref="A1:N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2CE74-5FB7-4FDA-9B4C-B3005FE0CDFE}">
  <dimension ref="B2:C20"/>
  <sheetViews>
    <sheetView topLeftCell="A4" workbookViewId="0">
      <selection activeCell="C20" sqref="C20"/>
    </sheetView>
  </sheetViews>
  <sheetFormatPr defaultColWidth="8.6328125" defaultRowHeight="14.5" x14ac:dyDescent="0.35"/>
  <cols>
    <col min="1" max="1" width="3" style="28" customWidth="1"/>
    <col min="2" max="2" width="30" style="28" customWidth="1"/>
    <col min="3" max="3" width="20" style="28" customWidth="1"/>
    <col min="4" max="4" width="4" style="28" customWidth="1"/>
    <col min="5" max="5" width="30" style="28" customWidth="1"/>
    <col min="6" max="6" width="20" style="28" customWidth="1"/>
    <col min="7" max="16384" width="8.6328125" style="28"/>
  </cols>
  <sheetData>
    <row r="2" spans="2:3" x14ac:dyDescent="0.35">
      <c r="B2" s="57" t="s">
        <v>108</v>
      </c>
    </row>
    <row r="4" spans="2:3" x14ac:dyDescent="0.35">
      <c r="B4" s="75" t="s">
        <v>109</v>
      </c>
      <c r="C4" s="75"/>
    </row>
    <row r="5" spans="2:3" x14ac:dyDescent="0.35">
      <c r="B5" s="4" t="s">
        <v>54</v>
      </c>
      <c r="C5" s="4" t="s">
        <v>110</v>
      </c>
    </row>
    <row r="6" spans="2:3" x14ac:dyDescent="0.35">
      <c r="B6" s="29" t="s">
        <v>111</v>
      </c>
      <c r="C6" s="33">
        <f>'Biaya Tetap'!C7</f>
        <v>600000</v>
      </c>
    </row>
    <row r="7" spans="2:3" x14ac:dyDescent="0.35">
      <c r="B7" s="29" t="s">
        <v>112</v>
      </c>
      <c r="C7" s="33">
        <f>'Biaya Tidak Langsung '!E7</f>
        <v>610000</v>
      </c>
    </row>
    <row r="8" spans="2:3" x14ac:dyDescent="0.35">
      <c r="B8" s="29" t="s">
        <v>113</v>
      </c>
      <c r="C8" s="33">
        <f>'Arus Kas'!G8</f>
        <v>7009500</v>
      </c>
    </row>
    <row r="10" spans="2:3" x14ac:dyDescent="0.35">
      <c r="B10" s="75" t="s">
        <v>114</v>
      </c>
      <c r="C10" s="75"/>
    </row>
    <row r="11" spans="2:3" x14ac:dyDescent="0.35">
      <c r="B11" s="4" t="s">
        <v>54</v>
      </c>
      <c r="C11" s="4" t="s">
        <v>110</v>
      </c>
    </row>
    <row r="12" spans="2:3" x14ac:dyDescent="0.35">
      <c r="B12" s="29" t="s">
        <v>115</v>
      </c>
      <c r="C12" s="33">
        <f>'Arus Kas'!E8</f>
        <v>24680000</v>
      </c>
    </row>
    <row r="13" spans="2:3" x14ac:dyDescent="0.35">
      <c r="B13" s="29" t="s">
        <v>116</v>
      </c>
      <c r="C13" s="33">
        <f>'Arus Kas'!L8</f>
        <v>9429500</v>
      </c>
    </row>
    <row r="14" spans="2:3" x14ac:dyDescent="0.35">
      <c r="B14" s="29" t="s">
        <v>117</v>
      </c>
      <c r="C14" s="33">
        <f>C12-C13</f>
        <v>15250500</v>
      </c>
    </row>
    <row r="16" spans="2:3" x14ac:dyDescent="0.35">
      <c r="B16" s="28" t="s">
        <v>118</v>
      </c>
      <c r="C16" s="55">
        <f>IF(C12=0,0,C14/C12)</f>
        <v>0.61792949756888171</v>
      </c>
    </row>
    <row r="18" spans="2:3" x14ac:dyDescent="0.35">
      <c r="B18" s="76" t="s">
        <v>119</v>
      </c>
      <c r="C18" s="76"/>
    </row>
    <row r="19" spans="2:3" x14ac:dyDescent="0.35">
      <c r="B19" s="4" t="s">
        <v>125</v>
      </c>
      <c r="C19" s="56">
        <f>COUNTIF('Inventori Mingguan'!B11:N11,"Segera Pesan")</f>
        <v>13</v>
      </c>
    </row>
    <row r="20" spans="2:3" x14ac:dyDescent="0.35">
      <c r="B20" s="36" t="s">
        <v>126</v>
      </c>
      <c r="C20" s="56">
        <f>COUNTIF('Inventori Mingguan'!B31:N31,"Segera Pesan")</f>
        <v>12</v>
      </c>
    </row>
  </sheetData>
  <mergeCells count="3">
    <mergeCell ref="B4:C4"/>
    <mergeCell ref="B10:C10"/>
    <mergeCell ref="B18:C1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Asumsi</vt:lpstr>
      <vt:lpstr>Penjelasan</vt:lpstr>
      <vt:lpstr>Panduan Teknis</vt:lpstr>
      <vt:lpstr>Biaya Tetap</vt:lpstr>
      <vt:lpstr>Biaya Variabel</vt:lpstr>
      <vt:lpstr>Biaya Tidak Langsung </vt:lpstr>
      <vt:lpstr>Inventori Harian</vt:lpstr>
      <vt:lpstr>Inventori Mingguan</vt:lpstr>
      <vt:lpstr>Arus Kas</vt:lpstr>
      <vt:lpstr>Visualisasi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Sibagariang</dc:creator>
  <cp:lastModifiedBy>Ben Sibagariang</cp:lastModifiedBy>
  <dcterms:created xsi:type="dcterms:W3CDTF">2026-07-02T09:58:53Z</dcterms:created>
  <dcterms:modified xsi:type="dcterms:W3CDTF">2026-07-03T04:34:41Z</dcterms:modified>
</cp:coreProperties>
</file>